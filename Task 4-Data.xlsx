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vanigouddindu/Documents/Citi Bank Forage/"/>
    </mc:Choice>
  </mc:AlternateContent>
  <xr:revisionPtr revIDLastSave="0" documentId="13_ncr:1_{EB279FD3-4959-114C-ADB4-63AD43214FCA}" xr6:coauthVersionLast="47" xr6:coauthVersionMax="47" xr10:uidLastSave="{00000000-0000-0000-0000-000000000000}"/>
  <bookViews>
    <workbookView xWindow="0" yWindow="760" windowWidth="25220" windowHeight="18360" xr2:uid="{49E1FB98-80B6-4590-B56D-D7378F033E4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8" i="1" l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B20" i="1"/>
  <c r="B21" i="1"/>
  <c r="B19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B15" i="1"/>
  <c r="B16" i="1"/>
  <c r="B14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<sst xmlns="http://schemas.openxmlformats.org/spreadsheetml/2006/main" count="23" uniqueCount="23">
  <si>
    <t>Early Warning Trigger</t>
  </si>
  <si>
    <t>Management Action</t>
  </si>
  <si>
    <t>Surplus drops by more half LY</t>
  </si>
  <si>
    <t>Deposit drops by more than</t>
  </si>
  <si>
    <t>Loan increases by more than</t>
  </si>
  <si>
    <t>Surplus drops below</t>
  </si>
  <si>
    <t>Deposit 1</t>
  </si>
  <si>
    <t>Deposit 2</t>
  </si>
  <si>
    <t>Deposit 3</t>
  </si>
  <si>
    <t>Loan 1</t>
  </si>
  <si>
    <t>Loan 2</t>
  </si>
  <si>
    <t>Loan 3</t>
  </si>
  <si>
    <t>Loan increases by 50% of the LY</t>
  </si>
  <si>
    <t>DEPOSITS ($'m)</t>
  </si>
  <si>
    <t>LOANS ($'m)</t>
  </si>
  <si>
    <t>Surplus</t>
  </si>
  <si>
    <t>Stressed surplus</t>
  </si>
  <si>
    <t>Surplus 1</t>
  </si>
  <si>
    <t>Surplus 2</t>
  </si>
  <si>
    <t>Surplus 3</t>
  </si>
  <si>
    <t>Stressed surplus 1</t>
  </si>
  <si>
    <t>Stressed surplus 2</t>
  </si>
  <si>
    <t>Stressed surplus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</si>
</sst>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165" fontId="0" fillId="0" borderId="0" xfId="1" applyNumberFormat="1" applyFont="1"/>
    <xf numFmtId="9" fontId="0" fillId="0" borderId="0" xfId="2" applyFont="1"/>
    <xf numFmtId="14" fontId="2" fillId="0" borderId="0" xfId="0" applyNumberFormat="1" applyFont="1"/>
    <xf numFmtId="166" fontId="0" fillId="0" borderId="0" xfId="0" applyNumberFormat="1"/>
    <xf numFmtId="9" fontId="0" fillId="0" borderId="0" xfId="2" applyFont="1" applyAlignment="1">
      <alignment horizontal="center"/>
    </xf>
    <xf numFmtId="37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Surplus</a:t>
            </a:r>
          </a:p>
        </c:rich>
      </c:tx>
      <c:layout>
        <c:manualLayout>
          <c:xMode val="edge"/>
          <c:yMode val="edge"/>
          <c:x val="0.47849923430321595"/>
          <c:y val="2.3017902813299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Data!$A$14</c:f>
              <c:strCache>
                <c:ptCount val="1"/>
                <c:pt idx="0">
                  <c:v>Surplus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Data!$B$13:$AQ$13</c:f>
              <c:numCache>
                <c:formatCode>m/d/yy</c:formatCode>
                <c:ptCount val="42"/>
                <c:pt idx="0">
                  <c:v>44926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</c:numCache>
            </c:numRef>
          </c:cat>
          <c:val>
            <c:numRef>
              <c:f>Data!$B$14:$AQ$14</c:f>
              <c:numCache>
                <c:formatCode>#,##0_);\(#,##0\)</c:formatCode>
                <c:ptCount val="42"/>
                <c:pt idx="0">
                  <c:v>30</c:v>
                </c:pt>
                <c:pt idx="1">
                  <c:v>27.5</c:v>
                </c:pt>
                <c:pt idx="2">
                  <c:v>31.174999999999997</c:v>
                </c:pt>
                <c:pt idx="3">
                  <c:v>34.828500000000005</c:v>
                </c:pt>
                <c:pt idx="4">
                  <c:v>33.736710000000002</c:v>
                </c:pt>
                <c:pt idx="5">
                  <c:v>31.552080000000004</c:v>
                </c:pt>
                <c:pt idx="6">
                  <c:v>33.253590300000013</c:v>
                </c:pt>
                <c:pt idx="7">
                  <c:v>36.666313635000023</c:v>
                </c:pt>
                <c:pt idx="8">
                  <c:v>37.793541403170025</c:v>
                </c:pt>
                <c:pt idx="9">
                  <c:v>36.691068900446126</c:v>
                </c:pt>
                <c:pt idx="10">
                  <c:v>34.508173345052796</c:v>
                </c:pt>
                <c:pt idx="11">
                  <c:v>29.850242701240205</c:v>
                </c:pt>
                <c:pt idx="12">
                  <c:v>28.954735420202994</c:v>
                </c:pt>
                <c:pt idx="13">
                  <c:v>24.364046092688582</c:v>
                </c:pt>
                <c:pt idx="14">
                  <c:v>21.64044409739482</c:v>
                </c:pt>
                <c:pt idx="15">
                  <c:v>21.64044409739482</c:v>
                </c:pt>
                <c:pt idx="16">
                  <c:v>22.58696738833855</c:v>
                </c:pt>
                <c:pt idx="17">
                  <c:v>20.396610838429226</c:v>
                </c:pt>
                <c:pt idx="18">
                  <c:v>24.360689024157864</c:v>
                </c:pt>
                <c:pt idx="19">
                  <c:v>20.263767649424125</c:v>
                </c:pt>
                <c:pt idx="20">
                  <c:v>22.358880207738082</c:v>
                </c:pt>
                <c:pt idx="21">
                  <c:v>19.658595317403993</c:v>
                </c:pt>
                <c:pt idx="22">
                  <c:v>16.034652979160384</c:v>
                </c:pt>
                <c:pt idx="23">
                  <c:v>10.636130844939316</c:v>
                </c:pt>
                <c:pt idx="24">
                  <c:v>12.715523180558179</c:v>
                </c:pt>
                <c:pt idx="25">
                  <c:v>11.248665045190705</c:v>
                </c:pt>
                <c:pt idx="26">
                  <c:v>13.711415697473072</c:v>
                </c:pt>
                <c:pt idx="27">
                  <c:v>8.7965652750705488</c:v>
                </c:pt>
                <c:pt idx="28">
                  <c:v>9.6326691215204079</c:v>
                </c:pt>
                <c:pt idx="29">
                  <c:v>8.0735101967648859</c:v>
                </c:pt>
                <c:pt idx="30">
                  <c:v>2.186219653158048</c:v>
                </c:pt>
                <c:pt idx="31">
                  <c:v>0.30093306088905081</c:v>
                </c:pt>
                <c:pt idx="32">
                  <c:v>-2.467428899137488</c:v>
                </c:pt>
                <c:pt idx="33">
                  <c:v>-2.467428899137488</c:v>
                </c:pt>
                <c:pt idx="34">
                  <c:v>-4.3767552983181446</c:v>
                </c:pt>
                <c:pt idx="35">
                  <c:v>-1.6064925561989725</c:v>
                </c:pt>
                <c:pt idx="36">
                  <c:v>-3.5087396391208046</c:v>
                </c:pt>
                <c:pt idx="37">
                  <c:v>-11.140985186130436</c:v>
                </c:pt>
                <c:pt idx="38">
                  <c:v>-12.379352780227094</c:v>
                </c:pt>
                <c:pt idx="39">
                  <c:v>-9.6126903823780907</c:v>
                </c:pt>
                <c:pt idx="40">
                  <c:v>-10.947085420934712</c:v>
                </c:pt>
                <c:pt idx="41">
                  <c:v>-19.10257035123746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9-4A40-839F-FB7192831EEF}"/>
            </c:ext>
          </c:extLst>
        </c:ser>
        <c:ser>
          <c:idx val="1"/>
          <c:order val="1"/>
          <c:tx>
            <c:strRef>
              <c:f>Data!$A$15</c:f>
              <c:strCache>
                <c:ptCount val="1"/>
                <c:pt idx="0">
                  <c:v>Surplus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Data!$B$13:$AQ$13</c:f>
              <c:numCache>
                <c:formatCode>m/d/yy</c:formatCode>
                <c:ptCount val="42"/>
                <c:pt idx="0">
                  <c:v>44926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</c:numCache>
            </c:numRef>
          </c:cat>
          <c:val>
            <c:numRef>
              <c:f>Data!$B$15:$AQ$15</c:f>
              <c:numCache>
                <c:formatCode>#,##0_);\(#,##0\)</c:formatCode>
                <c:ptCount val="42"/>
                <c:pt idx="0">
                  <c:v>65</c:v>
                </c:pt>
                <c:pt idx="1">
                  <c:v>65.849999999999994</c:v>
                </c:pt>
                <c:pt idx="2">
                  <c:v>62.132999999999996</c:v>
                </c:pt>
                <c:pt idx="3">
                  <c:v>66.722850000000008</c:v>
                </c:pt>
                <c:pt idx="4">
                  <c:v>64.884105000000005</c:v>
                </c:pt>
                <c:pt idx="5">
                  <c:v>64.534455809999997</c:v>
                </c:pt>
                <c:pt idx="6">
                  <c:v>64.151355420900018</c:v>
                </c:pt>
                <c:pt idx="7">
                  <c:v>61.391245275459006</c:v>
                </c:pt>
                <c:pt idx="8">
                  <c:v>65.483510953204089</c:v>
                </c:pt>
                <c:pt idx="9">
                  <c:v>62.417017607678638</c:v>
                </c:pt>
                <c:pt idx="10">
                  <c:v>59.532225050385023</c:v>
                </c:pt>
                <c:pt idx="11">
                  <c:v>57.372852755569795</c:v>
                </c:pt>
                <c:pt idx="12">
                  <c:v>53.899681442079768</c:v>
                </c:pt>
                <c:pt idx="13">
                  <c:v>53.405683056845817</c:v>
                </c:pt>
                <c:pt idx="14">
                  <c:v>53.470520168307729</c:v>
                </c:pt>
                <c:pt idx="15">
                  <c:v>55.618452144204412</c:v>
                </c:pt>
                <c:pt idx="16">
                  <c:v>51.729635963643076</c:v>
                </c:pt>
                <c:pt idx="17">
                  <c:v>53.862520225479429</c:v>
                </c:pt>
                <c:pt idx="18">
                  <c:v>54.411665996761172</c:v>
                </c:pt>
                <c:pt idx="19">
                  <c:v>52.780240709655708</c:v>
                </c:pt>
                <c:pt idx="20">
                  <c:v>54.363647930945376</c:v>
                </c:pt>
                <c:pt idx="21">
                  <c:v>56.038411575066341</c:v>
                </c:pt>
                <c:pt idx="22">
                  <c:v>54.357259227814346</c:v>
                </c:pt>
                <c:pt idx="23">
                  <c:v>51.640320034611413</c:v>
                </c:pt>
                <c:pt idx="24">
                  <c:v>50.048557632060493</c:v>
                </c:pt>
                <c:pt idx="25">
                  <c:v>52.093070758135731</c:v>
                </c:pt>
                <c:pt idx="26">
                  <c:v>51.018222525498679</c:v>
                </c:pt>
                <c:pt idx="27">
                  <c:v>51.018222525498679</c:v>
                </c:pt>
                <c:pt idx="28">
                  <c:v>52.038586976008652</c:v>
                </c:pt>
                <c:pt idx="29">
                  <c:v>47.652449988944333</c:v>
                </c:pt>
                <c:pt idx="30">
                  <c:v>44.194675230536653</c:v>
                </c:pt>
                <c:pt idx="31">
                  <c:v>41.036214351664476</c:v>
                </c:pt>
                <c:pt idx="32">
                  <c:v>41.856938638697763</c:v>
                </c:pt>
                <c:pt idx="33">
                  <c:v>39.355048456606703</c:v>
                </c:pt>
                <c:pt idx="34">
                  <c:v>34.420167645803403</c:v>
                </c:pt>
                <c:pt idx="35">
                  <c:v>39.450026131928183</c:v>
                </c:pt>
                <c:pt idx="36">
                  <c:v>35.572690278880032</c:v>
                </c:pt>
                <c:pt idx="37">
                  <c:v>38.694858989361961</c:v>
                </c:pt>
                <c:pt idx="38">
                  <c:v>38.009862988656792</c:v>
                </c:pt>
                <c:pt idx="39">
                  <c:v>35.17412784674697</c:v>
                </c:pt>
                <c:pt idx="40">
                  <c:v>33.771880869492676</c:v>
                </c:pt>
                <c:pt idx="41">
                  <c:v>32.421005634712969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9-4A40-839F-FB7192831EEF}"/>
            </c:ext>
          </c:extLst>
        </c:ser>
        <c:ser>
          <c:idx val="2"/>
          <c:order val="2"/>
          <c:tx>
            <c:strRef>
              <c:f>Data!$A$16</c:f>
              <c:strCache>
                <c:ptCount val="1"/>
                <c:pt idx="0">
                  <c:v>Surplus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Data!$B$13:$AQ$13</c:f>
              <c:numCache>
                <c:formatCode>m/d/yy</c:formatCode>
                <c:ptCount val="42"/>
                <c:pt idx="0">
                  <c:v>44926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</c:numCache>
            </c:numRef>
          </c:cat>
          <c:val>
            <c:numRef>
              <c:f>Data!$B$16:$AQ$16</c:f>
              <c:numCache>
                <c:formatCode>#,##0_);\(#,##0\)</c:formatCode>
                <c:ptCount val="42"/>
                <c:pt idx="0">
                  <c:v>240</c:v>
                </c:pt>
                <c:pt idx="1">
                  <c:v>242.2</c:v>
                </c:pt>
                <c:pt idx="2">
                  <c:v>234.93399999999997</c:v>
                </c:pt>
                <c:pt idx="3">
                  <c:v>237.38324999999998</c:v>
                </c:pt>
                <c:pt idx="4">
                  <c:v>242.430645</c:v>
                </c:pt>
                <c:pt idx="5">
                  <c:v>245.25059504999999</c:v>
                </c:pt>
                <c:pt idx="6">
                  <c:v>237.60524647949998</c:v>
                </c:pt>
                <c:pt idx="7">
                  <c:v>237.31741576049998</c:v>
                </c:pt>
                <c:pt idx="8">
                  <c:v>237.21859388030998</c:v>
                </c:pt>
                <c:pt idx="9">
                  <c:v>232.27460180471996</c:v>
                </c:pt>
                <c:pt idx="10">
                  <c:v>239.54227015583726</c:v>
                </c:pt>
                <c:pt idx="11">
                  <c:v>239.54227015583726</c:v>
                </c:pt>
                <c:pt idx="12">
                  <c:v>239.34264995785347</c:v>
                </c:pt>
                <c:pt idx="13">
                  <c:v>239.64806886076869</c:v>
                </c:pt>
                <c:pt idx="14">
                  <c:v>229.46963343468241</c:v>
                </c:pt>
                <c:pt idx="15">
                  <c:v>236.55517674608575</c:v>
                </c:pt>
                <c:pt idx="16">
                  <c:v>243.65183204846835</c:v>
                </c:pt>
                <c:pt idx="17">
                  <c:v>245.87877745196315</c:v>
                </c:pt>
                <c:pt idx="18">
                  <c:v>253.57893093227145</c:v>
                </c:pt>
                <c:pt idx="19">
                  <c:v>250.71935146619936</c:v>
                </c:pt>
                <c:pt idx="20">
                  <c:v>244.93434386381179</c:v>
                </c:pt>
                <c:pt idx="21">
                  <c:v>239.80447081461648</c:v>
                </c:pt>
                <c:pt idx="22">
                  <c:v>242.78048095256031</c:v>
                </c:pt>
                <c:pt idx="23">
                  <c:v>249.50904856853137</c:v>
                </c:pt>
                <c:pt idx="24">
                  <c:v>246.8941111713232</c:v>
                </c:pt>
                <c:pt idx="25">
                  <c:v>251.71214648322683</c:v>
                </c:pt>
                <c:pt idx="26">
                  <c:v>262.27440161803003</c:v>
                </c:pt>
                <c:pt idx="27">
                  <c:v>264.65026099647326</c:v>
                </c:pt>
                <c:pt idx="28">
                  <c:v>278.89993875377365</c:v>
                </c:pt>
                <c:pt idx="29">
                  <c:v>270.53294059116047</c:v>
                </c:pt>
                <c:pt idx="30">
                  <c:v>267.70797990109077</c:v>
                </c:pt>
                <c:pt idx="31">
                  <c:v>258.6000589466351</c:v>
                </c:pt>
                <c:pt idx="32">
                  <c:v>266.73848819865691</c:v>
                </c:pt>
                <c:pt idx="33">
                  <c:v>257.84866942424412</c:v>
                </c:pt>
                <c:pt idx="34">
                  <c:v>263.26940586804079</c:v>
                </c:pt>
                <c:pt idx="35">
                  <c:v>260.50483028170447</c:v>
                </c:pt>
                <c:pt idx="36">
                  <c:v>268.84750130077919</c:v>
                </c:pt>
                <c:pt idx="37">
                  <c:v>277.30461447694057</c:v>
                </c:pt>
                <c:pt idx="38">
                  <c:v>274.79269375692979</c:v>
                </c:pt>
                <c:pt idx="39">
                  <c:v>277.41397486349115</c:v>
                </c:pt>
                <c:pt idx="40">
                  <c:v>286.51146659516456</c:v>
                </c:pt>
                <c:pt idx="41">
                  <c:v>286.26085982476604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79-4A40-839F-FB7192831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240063"/>
        <c:axId val="1231177216"/>
      </c:lineChart>
      <c:dateAx>
        <c:axId val="979240063"/>
        <c:scaling>
          <c:orientation val="minMax"/>
          <c:max val="44986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77216"/>
        <c:crossesAt val="-100"/>
        <c:auto val="1"/>
        <c:lblOffset val="100"/>
        <c:baseTimeUnit val="days"/>
        <c:majorUnit val="5"/>
        <c:majorTimeUnit val="days"/>
        <c:minorUnit val="1"/>
        <c:minorTimeUnit val="days"/>
      </c:dateAx>
      <c:valAx>
        <c:axId val="1231177216"/>
        <c:scaling>
          <c:orientation val="minMax"/>
          <c:min val="-100"/>
        </c:scaling>
        <c:delete val="0"/>
        <c:axPos val="l"/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4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868119279883276"/>
          <c:y val="0.11540890508890993"/>
          <c:w val="0.6516422085830389"/>
          <c:h val="5.5946593632317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Stressed</a:t>
            </a:r>
            <a:r>
              <a:rPr lang="en-US" sz="1800" baseline="0"/>
              <a:t> Surplus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418341501018671E-2"/>
          <c:y val="0.1053325956589178"/>
          <c:w val="0.88437186828919112"/>
          <c:h val="0.63825981288098088"/>
        </c:manualLayout>
      </c:layout>
      <c:lineChart>
        <c:grouping val="standard"/>
        <c:varyColors val="0"/>
        <c:ser>
          <c:idx val="0"/>
          <c:order val="0"/>
          <c:tx>
            <c:strRef>
              <c:f>Data!$A$19</c:f>
              <c:strCache>
                <c:ptCount val="1"/>
                <c:pt idx="0">
                  <c:v>Stressed surplus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Data!$B$18:$AQ$18</c:f>
              <c:numCache>
                <c:formatCode>m/d/yy</c:formatCode>
                <c:ptCount val="42"/>
                <c:pt idx="0">
                  <c:v>44926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</c:numCache>
            </c:numRef>
          </c:cat>
          <c:val>
            <c:numRef>
              <c:f>Data!$B$19:$AQ$19</c:f>
              <c:numCache>
                <c:formatCode>_(* #,##0.0_);_(* \(#,##0.0\);_(* "-"?_);_(@_)</c:formatCode>
                <c:ptCount val="42"/>
                <c:pt idx="0">
                  <c:v>6</c:v>
                </c:pt>
                <c:pt idx="1">
                  <c:v>2.7000000000000028</c:v>
                </c:pt>
                <c:pt idx="2">
                  <c:v>7.1099999999999994</c:v>
                </c:pt>
                <c:pt idx="3">
                  <c:v>9.9792000000000058</c:v>
                </c:pt>
                <c:pt idx="4">
                  <c:v>7.7146020000000135</c:v>
                </c:pt>
                <c:pt idx="5">
                  <c:v>5.7484350000000148</c:v>
                </c:pt>
                <c:pt idx="6">
                  <c:v>6.826825530000022</c:v>
                </c:pt>
                <c:pt idx="7">
                  <c:v>10.591318703700026</c:v>
                </c:pt>
                <c:pt idx="8">
                  <c:v>12.278074602087031</c:v>
                </c:pt>
                <c:pt idx="9">
                  <c:v>11.285849349635527</c:v>
                </c:pt>
                <c:pt idx="10">
                  <c:v>9.3212433497815255</c:v>
                </c:pt>
                <c:pt idx="11">
                  <c:v>4.6943835171348667</c:v>
                </c:pt>
                <c:pt idx="12">
                  <c:v>4.5535520116208232</c:v>
                </c:pt>
                <c:pt idx="13">
                  <c:v>-0.65335387647024845</c:v>
                </c:pt>
                <c:pt idx="14">
                  <c:v>-2.4271658114379306</c:v>
                </c:pt>
                <c:pt idx="15">
                  <c:v>-2.4271658114379306</c:v>
                </c:pt>
                <c:pt idx="16">
                  <c:v>-1.5752948495885732</c:v>
                </c:pt>
                <c:pt idx="17">
                  <c:v>-4.2037227094797629</c:v>
                </c:pt>
                <c:pt idx="18">
                  <c:v>0.26637455623864525</c:v>
                </c:pt>
                <c:pt idx="19">
                  <c:v>-4.0706020479868101</c:v>
                </c:pt>
                <c:pt idx="20">
                  <c:v>-2.4080806748289376</c:v>
                </c:pt>
                <c:pt idx="21">
                  <c:v>-5.0636478047475464</c:v>
                </c:pt>
                <c:pt idx="22">
                  <c:v>-8.5527597450709152</c:v>
                </c:pt>
                <c:pt idx="23">
                  <c:v>-13.641269140133033</c:v>
                </c:pt>
                <c:pt idx="24">
                  <c:v>-12.466229645093406</c:v>
                </c:pt>
                <c:pt idx="25">
                  <c:v>-14.503707982151994</c:v>
                </c:pt>
                <c:pt idx="26">
                  <c:v>-11.548407199413163</c:v>
                </c:pt>
                <c:pt idx="27">
                  <c:v>-17.166206645932391</c:v>
                </c:pt>
                <c:pt idx="28">
                  <c:v>-16.162882030192563</c:v>
                </c:pt>
                <c:pt idx="29">
                  <c:v>-18.31109358965935</c:v>
                </c:pt>
                <c:pt idx="30">
                  <c:v>-25.655835300245329</c:v>
                </c:pt>
                <c:pt idx="31">
                  <c:v>-27.352593233287422</c:v>
                </c:pt>
                <c:pt idx="32">
                  <c:v>-30.120353327192177</c:v>
                </c:pt>
                <c:pt idx="33">
                  <c:v>-30.120353327192177</c:v>
                </c:pt>
                <c:pt idx="34">
                  <c:v>-32.954733779173509</c:v>
                </c:pt>
                <c:pt idx="35">
                  <c:v>-30.461497311266257</c:v>
                </c:pt>
                <c:pt idx="36">
                  <c:v>-32.173519685895911</c:v>
                </c:pt>
                <c:pt idx="37">
                  <c:v>-40.493323378738936</c:v>
                </c:pt>
                <c:pt idx="38">
                  <c:v>-42.521847314762582</c:v>
                </c:pt>
                <c:pt idx="39">
                  <c:v>-40.03185115669848</c:v>
                </c:pt>
                <c:pt idx="40">
                  <c:v>-42.488023883901761</c:v>
                </c:pt>
                <c:pt idx="41">
                  <c:v>-50.807029731326054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F-0E4E-9258-027FB0982B30}"/>
            </c:ext>
          </c:extLst>
        </c:ser>
        <c:ser>
          <c:idx val="1"/>
          <c:order val="1"/>
          <c:tx>
            <c:strRef>
              <c:f>Data!$A$20</c:f>
              <c:strCache>
                <c:ptCount val="1"/>
                <c:pt idx="0">
                  <c:v>Stressed surplus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Data!$B$18:$AQ$18</c:f>
              <c:numCache>
                <c:formatCode>m/d/yy</c:formatCode>
                <c:ptCount val="42"/>
                <c:pt idx="0">
                  <c:v>44926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</c:numCache>
            </c:numRef>
          </c:cat>
          <c:val>
            <c:numRef>
              <c:f>Data!$B$20:$AQ$20</c:f>
              <c:numCache>
                <c:formatCode>_(* #,##0.0_);_(* \(#,##0.0\);_(* "-"?_);_(@_)</c:formatCode>
                <c:ptCount val="42"/>
                <c:pt idx="0">
                  <c:v>43.5</c:v>
                </c:pt>
                <c:pt idx="1">
                  <c:v>44.865000000000009</c:v>
                </c:pt>
                <c:pt idx="2">
                  <c:v>41.087700000000005</c:v>
                </c:pt>
                <c:pt idx="3">
                  <c:v>44.921925000000016</c:v>
                </c:pt>
                <c:pt idx="4">
                  <c:v>43.418340900000018</c:v>
                </c:pt>
                <c:pt idx="5">
                  <c:v>42.654336021000006</c:v>
                </c:pt>
                <c:pt idx="6">
                  <c:v>41.846745444570018</c:v>
                </c:pt>
                <c:pt idx="7">
                  <c:v>38.885962080645911</c:v>
                </c:pt>
                <c:pt idx="8">
                  <c:v>42.405339603943816</c:v>
                </c:pt>
                <c:pt idx="9">
                  <c:v>39.810793795510307</c:v>
                </c:pt>
                <c:pt idx="10">
                  <c:v>37.050835273432043</c:v>
                </c:pt>
                <c:pt idx="11">
                  <c:v>34.115710171783476</c:v>
                </c:pt>
                <c:pt idx="12">
                  <c:v>30.98985598964245</c:v>
                </c:pt>
                <c:pt idx="13">
                  <c:v>31.070853162178778</c:v>
                </c:pt>
                <c:pt idx="14">
                  <c:v>31.808977026053796</c:v>
                </c:pt>
                <c:pt idx="15">
                  <c:v>33.41582598185235</c:v>
                </c:pt>
                <c:pt idx="16">
                  <c:v>30.082299228826457</c:v>
                </c:pt>
                <c:pt idx="17">
                  <c:v>32.001895064479186</c:v>
                </c:pt>
                <c:pt idx="18">
                  <c:v>32.660869990017275</c:v>
                </c:pt>
                <c:pt idx="19">
                  <c:v>31.029490937551685</c:v>
                </c:pt>
                <c:pt idx="20">
                  <c:v>31.960375665678214</c:v>
                </c:pt>
                <c:pt idx="21">
                  <c:v>33.637332020108815</c:v>
                </c:pt>
                <c:pt idx="22">
                  <c:v>32.628212059505557</c:v>
                </c:pt>
                <c:pt idx="23">
                  <c:v>30.345899998078181</c:v>
                </c:pt>
                <c:pt idx="24">
                  <c:v>28.752009955451641</c:v>
                </c:pt>
                <c:pt idx="25">
                  <c:v>30.266237930651286</c:v>
                </c:pt>
                <c:pt idx="26">
                  <c:v>29.298874521277952</c:v>
                </c:pt>
                <c:pt idx="27">
                  <c:v>29.298874521277952</c:v>
                </c:pt>
                <c:pt idx="28">
                  <c:v>29.884852011703501</c:v>
                </c:pt>
                <c:pt idx="29">
                  <c:v>25.598331198011522</c:v>
                </c:pt>
                <c:pt idx="30">
                  <c:v>21.449001487922303</c:v>
                </c:pt>
                <c:pt idx="31">
                  <c:v>18.606386696937349</c:v>
                </c:pt>
                <c:pt idx="32">
                  <c:v>18.978514430876103</c:v>
                </c:pt>
                <c:pt idx="33">
                  <c:v>16.91374057043366</c:v>
                </c:pt>
                <c:pt idx="34">
                  <c:v>10.991883597469709</c:v>
                </c:pt>
                <c:pt idx="35">
                  <c:v>16.118344253494612</c:v>
                </c:pt>
                <c:pt idx="36">
                  <c:v>11.46554122983683</c:v>
                </c:pt>
                <c:pt idx="37">
                  <c:v>14.275493069270567</c:v>
                </c:pt>
                <c:pt idx="38">
                  <c:v>13.453497868424364</c:v>
                </c:pt>
                <c:pt idx="39">
                  <c:v>10.693782452491845</c:v>
                </c:pt>
                <c:pt idx="40">
                  <c:v>9.6413894990587892</c:v>
                </c:pt>
                <c:pt idx="41">
                  <c:v>9.2557339190964427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F-0E4E-9258-027FB0982B30}"/>
            </c:ext>
          </c:extLst>
        </c:ser>
        <c:ser>
          <c:idx val="2"/>
          <c:order val="2"/>
          <c:tx>
            <c:strRef>
              <c:f>Data!$A$21</c:f>
              <c:strCache>
                <c:ptCount val="1"/>
                <c:pt idx="0">
                  <c:v>Stressed surplus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Data!$B$18:$AQ$18</c:f>
              <c:numCache>
                <c:formatCode>m/d/yy</c:formatCode>
                <c:ptCount val="42"/>
                <c:pt idx="0">
                  <c:v>44926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</c:numCache>
            </c:numRef>
          </c:cat>
          <c:val>
            <c:numRef>
              <c:f>Data!$B$21:$AQ$21</c:f>
              <c:numCache>
                <c:formatCode>_(* #,##0.0_);_(* \(#,##0.0\);_(* "-"?_);_(@_)</c:formatCode>
                <c:ptCount val="42"/>
                <c:pt idx="0">
                  <c:v>213</c:v>
                </c:pt>
                <c:pt idx="1">
                  <c:v>214.89</c:v>
                </c:pt>
                <c:pt idx="2">
                  <c:v>208.44329999999997</c:v>
                </c:pt>
                <c:pt idx="3">
                  <c:v>210.64762499999998</c:v>
                </c:pt>
                <c:pt idx="4">
                  <c:v>215.22025350000001</c:v>
                </c:pt>
                <c:pt idx="5">
                  <c:v>217.847228355</c:v>
                </c:pt>
                <c:pt idx="6">
                  <c:v>210.96641464154999</c:v>
                </c:pt>
                <c:pt idx="7">
                  <c:v>210.62101777875</c:v>
                </c:pt>
                <c:pt idx="8">
                  <c:v>210.50243152252199</c:v>
                </c:pt>
                <c:pt idx="9">
                  <c:v>206.05283865449098</c:v>
                </c:pt>
                <c:pt idx="10">
                  <c:v>212.59374017049655</c:v>
                </c:pt>
                <c:pt idx="11">
                  <c:v>212.59374017049655</c:v>
                </c:pt>
                <c:pt idx="12">
                  <c:v>212.35419593291599</c:v>
                </c:pt>
                <c:pt idx="13">
                  <c:v>212.72069861641424</c:v>
                </c:pt>
                <c:pt idx="14">
                  <c:v>203.50085546577105</c:v>
                </c:pt>
                <c:pt idx="15">
                  <c:v>209.84762629977962</c:v>
                </c:pt>
                <c:pt idx="16">
                  <c:v>216.143055088773</c:v>
                </c:pt>
                <c:pt idx="17">
                  <c:v>218.05299813927289</c:v>
                </c:pt>
                <c:pt idx="18">
                  <c:v>224.98313627155036</c:v>
                </c:pt>
                <c:pt idx="19">
                  <c:v>222.3447567207356</c:v>
                </c:pt>
                <c:pt idx="20">
                  <c:v>216.97311689864461</c:v>
                </c:pt>
                <c:pt idx="21">
                  <c:v>212.3562311543688</c:v>
                </c:pt>
                <c:pt idx="22">
                  <c:v>215.17335198166973</c:v>
                </c:pt>
                <c:pt idx="23">
                  <c:v>220.9627363659929</c:v>
                </c:pt>
                <c:pt idx="24">
                  <c:v>218.60929270850554</c:v>
                </c:pt>
                <c:pt idx="25">
                  <c:v>222.83766226884825</c:v>
                </c:pt>
                <c:pt idx="26">
                  <c:v>232.34369189017113</c:v>
                </c:pt>
                <c:pt idx="27">
                  <c:v>234.37086724378838</c:v>
                </c:pt>
                <c:pt idx="28">
                  <c:v>247.31000825494982</c:v>
                </c:pt>
                <c:pt idx="29">
                  <c:v>239.89070800730138</c:v>
                </c:pt>
                <c:pt idx="30">
                  <c:v>237.34824338623864</c:v>
                </c:pt>
                <c:pt idx="31">
                  <c:v>228.93577821574399</c:v>
                </c:pt>
                <c:pt idx="32">
                  <c:v>236.26036454256362</c:v>
                </c:pt>
                <c:pt idx="33">
                  <c:v>228.10735665214295</c:v>
                </c:pt>
                <c:pt idx="34">
                  <c:v>232.98601945155997</c:v>
                </c:pt>
                <c:pt idx="35">
                  <c:v>230.49790142385729</c:v>
                </c:pt>
                <c:pt idx="36">
                  <c:v>238.04586979932128</c:v>
                </c:pt>
                <c:pt idx="37">
                  <c:v>245.65727165786654</c:v>
                </c:pt>
                <c:pt idx="38">
                  <c:v>243.51404945099824</c:v>
                </c:pt>
                <c:pt idx="39">
                  <c:v>245.79721494829869</c:v>
                </c:pt>
                <c:pt idx="40">
                  <c:v>254.10121837967009</c:v>
                </c:pt>
                <c:pt idx="41">
                  <c:v>253.80049025519185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F-0E4E-9258-027FB0982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576591"/>
        <c:axId val="1341780927"/>
      </c:lineChart>
      <c:dateAx>
        <c:axId val="45457659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80927"/>
        <c:crossesAt val="-100"/>
        <c:auto val="1"/>
        <c:lblOffset val="100"/>
        <c:baseTimeUnit val="days"/>
      </c:dateAx>
      <c:valAx>
        <c:axId val="1341780927"/>
        <c:scaling>
          <c:orientation val="minMax"/>
        </c:scaling>
        <c:delete val="0"/>
        <c:axPos val="l"/>
        <c:numFmt formatCode="_(* #,##0.0_);_(* \(#,##0.0\);_(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7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56401079235725"/>
          <c:y val="0.91248401979865446"/>
          <c:w val="0.66836834425417091"/>
          <c:h val="5.7403056738359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596900</xdr:colOff>
      <xdr:row>23</xdr:row>
      <xdr:rowOff>0</xdr:rowOff>
    </xdr:from>
    <xdr:to>
      <xdr:col>40</xdr:col>
      <xdr:colOff>1104900</xdr:colOff>
      <xdr:row>49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A4AA05-0437-E35B-DD54-D62922B22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368300</xdr:colOff>
      <xdr:row>22</xdr:row>
      <xdr:rowOff>107950</xdr:rowOff>
    </xdr:from>
    <xdr:to>
      <xdr:col>32</xdr:col>
      <xdr:colOff>939800</xdr:colOff>
      <xdr:row>49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259F2E-06CF-99A5-71B8-8FE7C0E95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0AD0-6AE5-4043-8806-4D8047E6C1EB}">
  <dimension ref="A3:AW46"/>
  <sheetViews>
    <sheetView tabSelected="1" topLeftCell="W1" zoomScale="56" zoomScaleNormal="70" workbookViewId="0">
      <selection activeCell="AH29" sqref="AH29"/>
    </sheetView>
  </sheetViews>
  <sheetFormatPr baseColWidth="10" defaultColWidth="8.83203125" defaultRowHeight="15" x14ac:dyDescent="0.2"/>
  <cols>
    <col min="1" max="1" width="39.33203125" bestFit="1" customWidth="1"/>
    <col min="2" max="2" width="14.1640625" customWidth="1"/>
    <col min="3" max="7" width="14.5" bestFit="1" customWidth="1"/>
    <col min="8" max="8" width="14" bestFit="1" customWidth="1"/>
    <col min="9" max="9" width="13.5" bestFit="1" customWidth="1"/>
    <col min="10" max="15" width="14" bestFit="1" customWidth="1"/>
    <col min="16" max="16" width="14.5" bestFit="1" customWidth="1"/>
    <col min="17" max="17" width="14" bestFit="1" customWidth="1"/>
    <col min="18" max="22" width="14.5" bestFit="1" customWidth="1"/>
    <col min="23" max="23" width="14" bestFit="1" customWidth="1"/>
    <col min="24" max="24" width="14.5" bestFit="1" customWidth="1"/>
    <col min="25" max="30" width="14.83203125" bestFit="1" customWidth="1"/>
    <col min="31" max="31" width="14.5" bestFit="1" customWidth="1"/>
    <col min="32" max="32" width="14" bestFit="1" customWidth="1"/>
    <col min="33" max="38" width="14.5" bestFit="1" customWidth="1"/>
    <col min="39" max="43" width="14.83203125" bestFit="1" customWidth="1"/>
    <col min="44" max="44" width="12.5" bestFit="1" customWidth="1"/>
    <col min="45" max="45" width="10.6640625" bestFit="1" customWidth="1"/>
    <col min="49" max="49" width="10.6640625" bestFit="1" customWidth="1"/>
  </cols>
  <sheetData>
    <row r="3" spans="1:49" x14ac:dyDescent="0.2">
      <c r="A3" s="2" t="s">
        <v>13</v>
      </c>
      <c r="B3" s="5">
        <v>44926</v>
      </c>
      <c r="C3" s="5">
        <v>44929</v>
      </c>
      <c r="D3" s="5">
        <v>44930</v>
      </c>
      <c r="E3" s="5">
        <v>44931</v>
      </c>
      <c r="F3" s="5">
        <v>44932</v>
      </c>
      <c r="G3" s="5">
        <v>44935</v>
      </c>
      <c r="H3" s="5">
        <v>44936</v>
      </c>
      <c r="I3" s="5">
        <v>44937</v>
      </c>
      <c r="J3" s="5">
        <v>44938</v>
      </c>
      <c r="K3" s="5">
        <v>44939</v>
      </c>
      <c r="L3" s="5">
        <v>44942</v>
      </c>
      <c r="M3" s="5">
        <v>44943</v>
      </c>
      <c r="N3" s="5">
        <v>44944</v>
      </c>
      <c r="O3" s="5">
        <v>44945</v>
      </c>
      <c r="P3" s="5">
        <v>44946</v>
      </c>
      <c r="Q3" s="5">
        <v>44949</v>
      </c>
      <c r="R3" s="5">
        <v>44950</v>
      </c>
      <c r="S3" s="5">
        <v>44951</v>
      </c>
      <c r="T3" s="5">
        <v>44952</v>
      </c>
      <c r="U3" s="5">
        <v>44953</v>
      </c>
      <c r="V3" s="5">
        <v>44956</v>
      </c>
      <c r="W3" s="5">
        <v>44957</v>
      </c>
      <c r="X3" s="5">
        <v>44958</v>
      </c>
      <c r="Y3" s="5">
        <v>44959</v>
      </c>
      <c r="Z3" s="5">
        <v>44960</v>
      </c>
      <c r="AA3" s="5">
        <v>44963</v>
      </c>
      <c r="AB3" s="5">
        <v>44964</v>
      </c>
      <c r="AC3" s="5">
        <v>44965</v>
      </c>
      <c r="AD3" s="5">
        <v>44966</v>
      </c>
      <c r="AE3" s="5">
        <v>44967</v>
      </c>
      <c r="AF3" s="5">
        <v>44970</v>
      </c>
      <c r="AG3" s="5">
        <v>44971</v>
      </c>
      <c r="AH3" s="5">
        <v>44972</v>
      </c>
      <c r="AI3" s="5">
        <v>44973</v>
      </c>
      <c r="AJ3" s="5">
        <v>44974</v>
      </c>
      <c r="AK3" s="5">
        <v>44977</v>
      </c>
      <c r="AL3" s="5">
        <v>44978</v>
      </c>
      <c r="AM3" s="5">
        <v>44979</v>
      </c>
      <c r="AN3" s="5">
        <v>44980</v>
      </c>
      <c r="AO3" s="5">
        <v>44981</v>
      </c>
      <c r="AP3" s="5">
        <v>44984</v>
      </c>
      <c r="AQ3" s="5">
        <v>44985</v>
      </c>
      <c r="AR3" s="1"/>
      <c r="AS3" s="1"/>
      <c r="AT3" s="1"/>
      <c r="AU3" s="1"/>
      <c r="AV3" s="1"/>
      <c r="AW3" s="1"/>
    </row>
    <row r="4" spans="1:49" x14ac:dyDescent="0.2">
      <c r="A4" t="s">
        <v>6</v>
      </c>
      <c r="B4" s="3">
        <v>100</v>
      </c>
      <c r="C4" s="3">
        <v>101</v>
      </c>
      <c r="D4" s="3">
        <v>101</v>
      </c>
      <c r="E4" s="3">
        <v>106.05000000000001</v>
      </c>
      <c r="F4" s="3">
        <v>109.23150000000001</v>
      </c>
      <c r="G4" s="3">
        <v>107.04687000000001</v>
      </c>
      <c r="H4" s="3">
        <v>110.25827610000002</v>
      </c>
      <c r="I4" s="3">
        <v>111.36085886100003</v>
      </c>
      <c r="J4" s="3">
        <v>110.24725027239002</v>
      </c>
      <c r="K4" s="3">
        <v>109.14477776966612</v>
      </c>
      <c r="L4" s="3">
        <v>106.96188221427279</v>
      </c>
      <c r="M4" s="3">
        <v>103.7530257478446</v>
      </c>
      <c r="N4" s="3">
        <v>100.64043497540926</v>
      </c>
      <c r="O4" s="3">
        <v>99.634030625655171</v>
      </c>
      <c r="P4" s="3">
        <v>94.652329094372405</v>
      </c>
      <c r="Q4" s="3">
        <v>94.652329094372405</v>
      </c>
      <c r="R4" s="3">
        <v>95.598852385316135</v>
      </c>
      <c r="S4" s="3">
        <v>95.598852385316135</v>
      </c>
      <c r="T4" s="3">
        <v>96.5548409091693</v>
      </c>
      <c r="U4" s="3">
        <v>94.623744090985909</v>
      </c>
      <c r="V4" s="3">
        <v>97.462456413715486</v>
      </c>
      <c r="W4" s="3">
        <v>95.513207285441169</v>
      </c>
      <c r="X4" s="3">
        <v>92.647811066877935</v>
      </c>
      <c r="Y4" s="3">
        <v>88.015420513534039</v>
      </c>
      <c r="Z4" s="3">
        <v>92.416191539210743</v>
      </c>
      <c r="AA4" s="3">
        <v>93.340353454602848</v>
      </c>
      <c r="AB4" s="3">
        <v>93.340353454602848</v>
      </c>
      <c r="AC4" s="3">
        <v>92.406949920056817</v>
      </c>
      <c r="AD4" s="3">
        <v>92.406949920056817</v>
      </c>
      <c r="AE4" s="3">
        <v>93.331019419257387</v>
      </c>
      <c r="AF4" s="3">
        <v>94.264329613449959</v>
      </c>
      <c r="AG4" s="3">
        <v>92.379043021180962</v>
      </c>
      <c r="AH4" s="3">
        <v>90.531462160757343</v>
      </c>
      <c r="AI4" s="3">
        <v>90.531462160757343</v>
      </c>
      <c r="AJ4" s="3">
        <v>92.342091403972489</v>
      </c>
      <c r="AK4" s="3">
        <v>95.112354146091661</v>
      </c>
      <c r="AL4" s="3">
        <v>93.210107063169829</v>
      </c>
      <c r="AM4" s="3">
        <v>90.413803851274736</v>
      </c>
      <c r="AN4" s="3">
        <v>92.222079928300232</v>
      </c>
      <c r="AO4" s="3">
        <v>94.988742326149236</v>
      </c>
      <c r="AP4" s="3">
        <v>97.83840459593371</v>
      </c>
      <c r="AQ4" s="3">
        <v>92.946484366137014</v>
      </c>
    </row>
    <row r="5" spans="1:49" x14ac:dyDescent="0.2">
      <c r="A5" t="s">
        <v>7</v>
      </c>
      <c r="B5" s="3">
        <v>115</v>
      </c>
      <c r="C5" s="3">
        <v>113.85</v>
      </c>
      <c r="D5" s="3">
        <v>111.57299999999999</v>
      </c>
      <c r="E5" s="3">
        <v>117.15165</v>
      </c>
      <c r="F5" s="3">
        <v>114.808617</v>
      </c>
      <c r="G5" s="3">
        <v>115.95670317</v>
      </c>
      <c r="H5" s="3">
        <v>117.1162702017</v>
      </c>
      <c r="I5" s="3">
        <v>115.945107499683</v>
      </c>
      <c r="J5" s="3">
        <v>120.58291179967033</v>
      </c>
      <c r="K5" s="3">
        <v>116.96542444568021</v>
      </c>
      <c r="L5" s="3">
        <v>114.62611595676661</v>
      </c>
      <c r="M5" s="3">
        <v>115.77237711633428</v>
      </c>
      <c r="N5" s="3">
        <v>112.29920580284426</v>
      </c>
      <c r="O5" s="3">
        <v>110.05322168678737</v>
      </c>
      <c r="P5" s="3">
        <v>107.85215725305162</v>
      </c>
      <c r="Q5" s="3">
        <v>111.08772197064317</v>
      </c>
      <c r="R5" s="3">
        <v>106.64421309181745</v>
      </c>
      <c r="S5" s="3">
        <v>108.7770973536538</v>
      </c>
      <c r="T5" s="3">
        <v>108.7770973536538</v>
      </c>
      <c r="U5" s="3">
        <v>107.68932638011727</v>
      </c>
      <c r="V5" s="3">
        <v>110.92000617152078</v>
      </c>
      <c r="W5" s="3">
        <v>112.029206233236</v>
      </c>
      <c r="X5" s="3">
        <v>108.66833004623891</v>
      </c>
      <c r="Y5" s="3">
        <v>105.40828014485173</v>
      </c>
      <c r="Z5" s="3">
        <v>104.35419734340321</v>
      </c>
      <c r="AA5" s="3">
        <v>107.48482326370531</v>
      </c>
      <c r="AB5" s="3">
        <v>106.40997503106826</v>
      </c>
      <c r="AC5" s="3">
        <v>106.40997503106826</v>
      </c>
      <c r="AD5" s="3">
        <v>108.53817453168962</v>
      </c>
      <c r="AE5" s="3">
        <v>105.28202929573892</v>
      </c>
      <c r="AF5" s="3">
        <v>105.28202929573892</v>
      </c>
      <c r="AG5" s="3">
        <v>102.12356841686675</v>
      </c>
      <c r="AH5" s="3">
        <v>104.16603978520408</v>
      </c>
      <c r="AI5" s="3">
        <v>101.04105859164795</v>
      </c>
      <c r="AJ5" s="3">
        <v>101.04105859164795</v>
      </c>
      <c r="AK5" s="3">
        <v>104.07229034939739</v>
      </c>
      <c r="AL5" s="3">
        <v>104.07229034939739</v>
      </c>
      <c r="AM5" s="3">
        <v>107.19445905987932</v>
      </c>
      <c r="AN5" s="3">
        <v>107.19445905987932</v>
      </c>
      <c r="AO5" s="3">
        <v>105.05056987868173</v>
      </c>
      <c r="AP5" s="3">
        <v>102.94955848110808</v>
      </c>
      <c r="AQ5" s="3">
        <v>98.831576141863763</v>
      </c>
    </row>
    <row r="6" spans="1:49" x14ac:dyDescent="0.2">
      <c r="A6" t="s">
        <v>8</v>
      </c>
      <c r="B6" s="3">
        <v>250</v>
      </c>
      <c r="C6" s="3">
        <v>252.5</v>
      </c>
      <c r="D6" s="3">
        <v>244.92499999999998</v>
      </c>
      <c r="E6" s="3">
        <v>247.37424999999999</v>
      </c>
      <c r="F6" s="3">
        <v>252.32173499999999</v>
      </c>
      <c r="G6" s="3">
        <v>254.84495235</v>
      </c>
      <c r="H6" s="3">
        <v>247.19960377949999</v>
      </c>
      <c r="I6" s="3">
        <v>247.19960377949999</v>
      </c>
      <c r="J6" s="3">
        <v>247.19960377949999</v>
      </c>
      <c r="K6" s="3">
        <v>242.25561170390998</v>
      </c>
      <c r="L6" s="3">
        <v>249.52328005502727</v>
      </c>
      <c r="M6" s="3">
        <v>249.52328005502727</v>
      </c>
      <c r="N6" s="3">
        <v>249.52328005502727</v>
      </c>
      <c r="O6" s="3">
        <v>249.52328005502727</v>
      </c>
      <c r="P6" s="3">
        <v>239.54234885282617</v>
      </c>
      <c r="Q6" s="3">
        <v>246.72861931841095</v>
      </c>
      <c r="R6" s="3">
        <v>254.13047789796329</v>
      </c>
      <c r="S6" s="3">
        <v>256.67178267694294</v>
      </c>
      <c r="T6" s="3">
        <v>264.37193615725124</v>
      </c>
      <c r="U6" s="3">
        <v>261.72821679567875</v>
      </c>
      <c r="V6" s="3">
        <v>256.49365245976514</v>
      </c>
      <c r="W6" s="3">
        <v>251.36377941056983</v>
      </c>
      <c r="X6" s="3">
        <v>253.87741720467554</v>
      </c>
      <c r="Y6" s="3">
        <v>261.49373972081582</v>
      </c>
      <c r="Z6" s="3">
        <v>258.87880232360766</v>
      </c>
      <c r="AA6" s="3">
        <v>264.05637837007981</v>
      </c>
      <c r="AB6" s="3">
        <v>274.61863350488301</v>
      </c>
      <c r="AC6" s="3">
        <v>277.36481983993184</v>
      </c>
      <c r="AD6" s="3">
        <v>291.23306083192847</v>
      </c>
      <c r="AE6" s="3">
        <v>282.49606900697063</v>
      </c>
      <c r="AF6" s="3">
        <v>279.67110831690093</v>
      </c>
      <c r="AG6" s="3">
        <v>271.28097506739391</v>
      </c>
      <c r="AH6" s="3">
        <v>279.41940431941572</v>
      </c>
      <c r="AI6" s="3">
        <v>271.03682218983323</v>
      </c>
      <c r="AJ6" s="3">
        <v>276.4575586336299</v>
      </c>
      <c r="AK6" s="3">
        <v>273.69298304729358</v>
      </c>
      <c r="AL6" s="3">
        <v>281.90377253871242</v>
      </c>
      <c r="AM6" s="3">
        <v>290.3608857148738</v>
      </c>
      <c r="AN6" s="3">
        <v>287.45727685772505</v>
      </c>
      <c r="AO6" s="3">
        <v>290.3318496263023</v>
      </c>
      <c r="AP6" s="3">
        <v>299.04180511509139</v>
      </c>
      <c r="AQ6" s="3">
        <v>299.04180511509139</v>
      </c>
    </row>
    <row r="7" spans="1:49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9" x14ac:dyDescent="0.2">
      <c r="A8" s="2" t="s">
        <v>14</v>
      </c>
      <c r="B8" s="5">
        <f t="shared" ref="B8:AQ8" si="0">B3</f>
        <v>44926</v>
      </c>
      <c r="C8" s="5">
        <f t="shared" si="0"/>
        <v>44929</v>
      </c>
      <c r="D8" s="5">
        <f t="shared" si="0"/>
        <v>44930</v>
      </c>
      <c r="E8" s="5">
        <f t="shared" si="0"/>
        <v>44931</v>
      </c>
      <c r="F8" s="5">
        <f t="shared" si="0"/>
        <v>44932</v>
      </c>
      <c r="G8" s="5">
        <f t="shared" si="0"/>
        <v>44935</v>
      </c>
      <c r="H8" s="5">
        <f t="shared" si="0"/>
        <v>44936</v>
      </c>
      <c r="I8" s="5">
        <f t="shared" si="0"/>
        <v>44937</v>
      </c>
      <c r="J8" s="5">
        <f t="shared" si="0"/>
        <v>44938</v>
      </c>
      <c r="K8" s="5">
        <f t="shared" si="0"/>
        <v>44939</v>
      </c>
      <c r="L8" s="5">
        <f t="shared" si="0"/>
        <v>44942</v>
      </c>
      <c r="M8" s="5">
        <f t="shared" si="0"/>
        <v>44943</v>
      </c>
      <c r="N8" s="5">
        <f t="shared" si="0"/>
        <v>44944</v>
      </c>
      <c r="O8" s="5">
        <f t="shared" si="0"/>
        <v>44945</v>
      </c>
      <c r="P8" s="5">
        <f t="shared" si="0"/>
        <v>44946</v>
      </c>
      <c r="Q8" s="5">
        <f t="shared" si="0"/>
        <v>44949</v>
      </c>
      <c r="R8" s="5">
        <f t="shared" si="0"/>
        <v>44950</v>
      </c>
      <c r="S8" s="5">
        <f t="shared" si="0"/>
        <v>44951</v>
      </c>
      <c r="T8" s="5">
        <f t="shared" si="0"/>
        <v>44952</v>
      </c>
      <c r="U8" s="5">
        <f t="shared" si="0"/>
        <v>44953</v>
      </c>
      <c r="V8" s="5">
        <f t="shared" si="0"/>
        <v>44956</v>
      </c>
      <c r="W8" s="5">
        <f t="shared" si="0"/>
        <v>44957</v>
      </c>
      <c r="X8" s="5">
        <f t="shared" si="0"/>
        <v>44958</v>
      </c>
      <c r="Y8" s="5">
        <f t="shared" si="0"/>
        <v>44959</v>
      </c>
      <c r="Z8" s="5">
        <f t="shared" si="0"/>
        <v>44960</v>
      </c>
      <c r="AA8" s="5">
        <f t="shared" si="0"/>
        <v>44963</v>
      </c>
      <c r="AB8" s="5">
        <f t="shared" si="0"/>
        <v>44964</v>
      </c>
      <c r="AC8" s="5">
        <f t="shared" si="0"/>
        <v>44965</v>
      </c>
      <c r="AD8" s="5">
        <f t="shared" si="0"/>
        <v>44966</v>
      </c>
      <c r="AE8" s="5">
        <f t="shared" si="0"/>
        <v>44967</v>
      </c>
      <c r="AF8" s="5">
        <f t="shared" si="0"/>
        <v>44970</v>
      </c>
      <c r="AG8" s="5">
        <f t="shared" si="0"/>
        <v>44971</v>
      </c>
      <c r="AH8" s="5">
        <f t="shared" si="0"/>
        <v>44972</v>
      </c>
      <c r="AI8" s="5">
        <f t="shared" si="0"/>
        <v>44973</v>
      </c>
      <c r="AJ8" s="5">
        <f t="shared" si="0"/>
        <v>44974</v>
      </c>
      <c r="AK8" s="5">
        <f t="shared" si="0"/>
        <v>44977</v>
      </c>
      <c r="AL8" s="5">
        <f t="shared" si="0"/>
        <v>44978</v>
      </c>
      <c r="AM8" s="5">
        <f t="shared" si="0"/>
        <v>44979</v>
      </c>
      <c r="AN8" s="5">
        <f t="shared" si="0"/>
        <v>44980</v>
      </c>
      <c r="AO8" s="5">
        <f t="shared" si="0"/>
        <v>44981</v>
      </c>
      <c r="AP8" s="5">
        <f t="shared" si="0"/>
        <v>44984</v>
      </c>
      <c r="AQ8" s="5">
        <f t="shared" si="0"/>
        <v>44985</v>
      </c>
    </row>
    <row r="9" spans="1:49" x14ac:dyDescent="0.2">
      <c r="A9" t="s">
        <v>9</v>
      </c>
      <c r="B9">
        <v>70</v>
      </c>
      <c r="C9" s="3">
        <v>73.5</v>
      </c>
      <c r="D9" s="3">
        <v>69.825000000000003</v>
      </c>
      <c r="E9" s="3">
        <v>71.221500000000006</v>
      </c>
      <c r="F9" s="3">
        <v>75.494790000000009</v>
      </c>
      <c r="G9" s="3">
        <v>75.494790000000009</v>
      </c>
      <c r="H9" s="3">
        <v>77.004685800000004</v>
      </c>
      <c r="I9" s="3">
        <v>74.694545226000002</v>
      </c>
      <c r="J9" s="3">
        <v>72.453708869219994</v>
      </c>
      <c r="K9" s="3">
        <v>72.453708869219994</v>
      </c>
      <c r="L9" s="3">
        <v>72.453708869219994</v>
      </c>
      <c r="M9" s="3">
        <v>73.902783046604398</v>
      </c>
      <c r="N9" s="3">
        <v>71.68569955520627</v>
      </c>
      <c r="O9" s="3">
        <v>75.269984532966589</v>
      </c>
      <c r="P9" s="3">
        <v>73.011884996977585</v>
      </c>
      <c r="Q9" s="3">
        <v>73.011884996977585</v>
      </c>
      <c r="R9" s="3">
        <v>73.011884996977585</v>
      </c>
      <c r="S9" s="3">
        <v>75.20224154688691</v>
      </c>
      <c r="T9" s="3">
        <v>72.194151885011436</v>
      </c>
      <c r="U9" s="3">
        <v>74.359976441561784</v>
      </c>
      <c r="V9" s="3">
        <v>75.103576205977404</v>
      </c>
      <c r="W9" s="3">
        <v>75.854611968037176</v>
      </c>
      <c r="X9" s="3">
        <v>76.613158087717551</v>
      </c>
      <c r="Y9" s="3">
        <v>77.379289668594723</v>
      </c>
      <c r="Z9" s="3">
        <v>79.700668358652564</v>
      </c>
      <c r="AA9" s="3">
        <v>82.091688409412143</v>
      </c>
      <c r="AB9" s="3">
        <v>79.628937757129776</v>
      </c>
      <c r="AC9" s="3">
        <v>83.610384644986269</v>
      </c>
      <c r="AD9" s="3">
        <v>82.77428079853641</v>
      </c>
      <c r="AE9" s="3">
        <v>85.257509222492502</v>
      </c>
      <c r="AF9" s="3">
        <v>92.078109960291911</v>
      </c>
      <c r="AG9" s="3">
        <v>92.078109960291911</v>
      </c>
      <c r="AH9" s="3">
        <v>92.998891059894831</v>
      </c>
      <c r="AI9" s="3">
        <v>92.998891059894831</v>
      </c>
      <c r="AJ9" s="3">
        <v>96.718846702290634</v>
      </c>
      <c r="AK9" s="3">
        <v>96.718846702290634</v>
      </c>
      <c r="AL9" s="3">
        <v>96.718846702290634</v>
      </c>
      <c r="AM9" s="3">
        <v>101.55478903740517</v>
      </c>
      <c r="AN9" s="3">
        <v>104.60143270852733</v>
      </c>
      <c r="AO9" s="3">
        <v>104.60143270852733</v>
      </c>
      <c r="AP9" s="3">
        <v>108.78549001686842</v>
      </c>
      <c r="AQ9" s="3">
        <v>112.04905471737447</v>
      </c>
    </row>
    <row r="10" spans="1:49" x14ac:dyDescent="0.2">
      <c r="A10" t="s">
        <v>10</v>
      </c>
      <c r="B10">
        <v>50</v>
      </c>
      <c r="C10" s="3">
        <v>48</v>
      </c>
      <c r="D10" s="3">
        <v>49.44</v>
      </c>
      <c r="E10" s="3">
        <v>50.428799999999995</v>
      </c>
      <c r="F10" s="3">
        <v>49.924511999999993</v>
      </c>
      <c r="G10" s="3">
        <v>51.422247359999993</v>
      </c>
      <c r="H10" s="3">
        <v>52.964914780799994</v>
      </c>
      <c r="I10" s="3">
        <v>54.553862224223998</v>
      </c>
      <c r="J10" s="3">
        <v>55.099400846466239</v>
      </c>
      <c r="K10" s="3">
        <v>54.548406838001576</v>
      </c>
      <c r="L10" s="3">
        <v>55.093890906381588</v>
      </c>
      <c r="M10" s="3">
        <v>58.399524360764488</v>
      </c>
      <c r="N10" s="3">
        <v>58.399524360764488</v>
      </c>
      <c r="O10" s="3">
        <v>56.64753862994155</v>
      </c>
      <c r="P10" s="3">
        <v>54.381637084743886</v>
      </c>
      <c r="Q10" s="3">
        <v>55.469269826438762</v>
      </c>
      <c r="R10" s="3">
        <v>54.914577128174372</v>
      </c>
      <c r="S10" s="3">
        <v>54.914577128174372</v>
      </c>
      <c r="T10" s="3">
        <v>54.365431356892628</v>
      </c>
      <c r="U10" s="3">
        <v>54.909085670461558</v>
      </c>
      <c r="V10" s="3">
        <v>56.556358240575406</v>
      </c>
      <c r="W10" s="3">
        <v>55.990794658169655</v>
      </c>
      <c r="X10" s="3">
        <v>54.311070818424561</v>
      </c>
      <c r="Y10" s="3">
        <v>53.767960110240317</v>
      </c>
      <c r="Z10" s="3">
        <v>54.305639711342721</v>
      </c>
      <c r="AA10" s="3">
        <v>55.391752505569578</v>
      </c>
      <c r="AB10" s="3">
        <v>55.391752505569578</v>
      </c>
      <c r="AC10" s="3">
        <v>55.391752505569578</v>
      </c>
      <c r="AD10" s="3">
        <v>56.499587555680968</v>
      </c>
      <c r="AE10" s="3">
        <v>57.629579306794589</v>
      </c>
      <c r="AF10" s="3">
        <v>61.08735406520227</v>
      </c>
      <c r="AG10" s="3">
        <v>61.08735406520227</v>
      </c>
      <c r="AH10" s="3">
        <v>62.309101146506315</v>
      </c>
      <c r="AI10" s="3">
        <v>61.686010135041251</v>
      </c>
      <c r="AJ10" s="3">
        <v>66.62089094584455</v>
      </c>
      <c r="AK10" s="3">
        <v>64.622264217469208</v>
      </c>
      <c r="AL10" s="3">
        <v>68.49960007051736</v>
      </c>
      <c r="AM10" s="3">
        <v>68.49960007051736</v>
      </c>
      <c r="AN10" s="3">
        <v>69.184596071222529</v>
      </c>
      <c r="AO10" s="3">
        <v>69.876442031934758</v>
      </c>
      <c r="AP10" s="3">
        <v>69.177677611615408</v>
      </c>
      <c r="AQ10" s="3">
        <v>66.410570507150794</v>
      </c>
    </row>
    <row r="11" spans="1:49" x14ac:dyDescent="0.2">
      <c r="A11" t="s">
        <v>11</v>
      </c>
      <c r="B11">
        <v>10</v>
      </c>
      <c r="C11" s="3">
        <v>10.3</v>
      </c>
      <c r="D11" s="3">
        <v>9.9909999999999997</v>
      </c>
      <c r="E11" s="3">
        <v>9.9909999999999997</v>
      </c>
      <c r="F11" s="3">
        <v>9.8910900000000002</v>
      </c>
      <c r="G11" s="3">
        <v>9.5943573000000004</v>
      </c>
      <c r="H11" s="3">
        <v>9.5943573000000004</v>
      </c>
      <c r="I11" s="3">
        <v>9.8821880190000009</v>
      </c>
      <c r="J11" s="3">
        <v>9.9810098991900009</v>
      </c>
      <c r="K11" s="3">
        <v>9.9810098991900009</v>
      </c>
      <c r="L11" s="3">
        <v>9.9810098991900009</v>
      </c>
      <c r="M11" s="3">
        <v>9.9810098991900009</v>
      </c>
      <c r="N11" s="3">
        <v>10.1806300971738</v>
      </c>
      <c r="O11" s="3">
        <v>9.8752111942585863</v>
      </c>
      <c r="P11" s="3">
        <v>10.072715418143758</v>
      </c>
      <c r="Q11" s="3">
        <v>10.173442572325197</v>
      </c>
      <c r="R11" s="3">
        <v>10.478645849494953</v>
      </c>
      <c r="S11" s="3">
        <v>10.793005224979801</v>
      </c>
      <c r="T11" s="3">
        <v>10.793005224979801</v>
      </c>
      <c r="U11" s="3">
        <v>11.008865329479397</v>
      </c>
      <c r="V11" s="3">
        <v>11.559308595953366</v>
      </c>
      <c r="W11" s="3">
        <v>11.559308595953366</v>
      </c>
      <c r="X11" s="3">
        <v>11.096936252115231</v>
      </c>
      <c r="Y11" s="3">
        <v>11.98469115228445</v>
      </c>
      <c r="Z11" s="3">
        <v>11.98469115228445</v>
      </c>
      <c r="AA11" s="3">
        <v>12.344231886852983</v>
      </c>
      <c r="AB11" s="3">
        <v>12.344231886852983</v>
      </c>
      <c r="AC11" s="3">
        <v>12.714558843458573</v>
      </c>
      <c r="AD11" s="3">
        <v>12.333122078154815</v>
      </c>
      <c r="AE11" s="3">
        <v>11.963128415810171</v>
      </c>
      <c r="AF11" s="3">
        <v>11.963128415810171</v>
      </c>
      <c r="AG11" s="3">
        <v>12.680916120758782</v>
      </c>
      <c r="AH11" s="3">
        <v>12.680916120758782</v>
      </c>
      <c r="AI11" s="3">
        <v>13.188152765589134</v>
      </c>
      <c r="AJ11" s="3">
        <v>13.188152765589134</v>
      </c>
      <c r="AK11" s="3">
        <v>13.188152765589134</v>
      </c>
      <c r="AL11" s="3">
        <v>13.056271237933242</v>
      </c>
      <c r="AM11" s="3">
        <v>13.056271237933242</v>
      </c>
      <c r="AN11" s="3">
        <v>12.664583100795245</v>
      </c>
      <c r="AO11" s="3">
        <v>12.917874762811149</v>
      </c>
      <c r="AP11" s="3">
        <v>12.530338519926813</v>
      </c>
      <c r="AQ11" s="3">
        <v>12.78094529032535</v>
      </c>
    </row>
    <row r="12" spans="1:49" x14ac:dyDescent="0.2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9" x14ac:dyDescent="0.2">
      <c r="A13" s="2" t="s">
        <v>15</v>
      </c>
      <c r="B13" s="5">
        <f t="shared" ref="B13:AQ13" si="1">B8</f>
        <v>44926</v>
      </c>
      <c r="C13" s="5">
        <f t="shared" si="1"/>
        <v>44929</v>
      </c>
      <c r="D13" s="5">
        <f t="shared" si="1"/>
        <v>44930</v>
      </c>
      <c r="E13" s="5">
        <f t="shared" si="1"/>
        <v>44931</v>
      </c>
      <c r="F13" s="5">
        <f t="shared" si="1"/>
        <v>44932</v>
      </c>
      <c r="G13" s="5">
        <f t="shared" si="1"/>
        <v>44935</v>
      </c>
      <c r="H13" s="5">
        <f t="shared" si="1"/>
        <v>44936</v>
      </c>
      <c r="I13" s="5">
        <f t="shared" si="1"/>
        <v>44937</v>
      </c>
      <c r="J13" s="5">
        <f t="shared" si="1"/>
        <v>44938</v>
      </c>
      <c r="K13" s="5">
        <f t="shared" si="1"/>
        <v>44939</v>
      </c>
      <c r="L13" s="5">
        <f t="shared" si="1"/>
        <v>44942</v>
      </c>
      <c r="M13" s="5">
        <f t="shared" si="1"/>
        <v>44943</v>
      </c>
      <c r="N13" s="5">
        <f t="shared" si="1"/>
        <v>44944</v>
      </c>
      <c r="O13" s="5">
        <f t="shared" si="1"/>
        <v>44945</v>
      </c>
      <c r="P13" s="5">
        <f t="shared" si="1"/>
        <v>44946</v>
      </c>
      <c r="Q13" s="5">
        <f t="shared" si="1"/>
        <v>44949</v>
      </c>
      <c r="R13" s="5">
        <f t="shared" si="1"/>
        <v>44950</v>
      </c>
      <c r="S13" s="5">
        <f t="shared" si="1"/>
        <v>44951</v>
      </c>
      <c r="T13" s="5">
        <f t="shared" si="1"/>
        <v>44952</v>
      </c>
      <c r="U13" s="5">
        <f t="shared" si="1"/>
        <v>44953</v>
      </c>
      <c r="V13" s="5">
        <f t="shared" si="1"/>
        <v>44956</v>
      </c>
      <c r="W13" s="5">
        <f t="shared" si="1"/>
        <v>44957</v>
      </c>
      <c r="X13" s="5">
        <f t="shared" si="1"/>
        <v>44958</v>
      </c>
      <c r="Y13" s="5">
        <f t="shared" si="1"/>
        <v>44959</v>
      </c>
      <c r="Z13" s="5">
        <f t="shared" si="1"/>
        <v>44960</v>
      </c>
      <c r="AA13" s="5">
        <f t="shared" si="1"/>
        <v>44963</v>
      </c>
      <c r="AB13" s="5">
        <f t="shared" si="1"/>
        <v>44964</v>
      </c>
      <c r="AC13" s="5">
        <f t="shared" si="1"/>
        <v>44965</v>
      </c>
      <c r="AD13" s="5">
        <f t="shared" si="1"/>
        <v>44966</v>
      </c>
      <c r="AE13" s="5">
        <f t="shared" si="1"/>
        <v>44967</v>
      </c>
      <c r="AF13" s="5">
        <f t="shared" si="1"/>
        <v>44970</v>
      </c>
      <c r="AG13" s="5">
        <f t="shared" si="1"/>
        <v>44971</v>
      </c>
      <c r="AH13" s="5">
        <f t="shared" si="1"/>
        <v>44972</v>
      </c>
      <c r="AI13" s="5">
        <f t="shared" si="1"/>
        <v>44973</v>
      </c>
      <c r="AJ13" s="5">
        <f t="shared" si="1"/>
        <v>44974</v>
      </c>
      <c r="AK13" s="5">
        <f t="shared" si="1"/>
        <v>44977</v>
      </c>
      <c r="AL13" s="5">
        <f t="shared" si="1"/>
        <v>44978</v>
      </c>
      <c r="AM13" s="5">
        <f t="shared" si="1"/>
        <v>44979</v>
      </c>
      <c r="AN13" s="5">
        <f t="shared" si="1"/>
        <v>44980</v>
      </c>
      <c r="AO13" s="5">
        <f t="shared" si="1"/>
        <v>44981</v>
      </c>
      <c r="AP13" s="5">
        <f t="shared" si="1"/>
        <v>44984</v>
      </c>
      <c r="AQ13" s="5">
        <f t="shared" si="1"/>
        <v>44985</v>
      </c>
    </row>
    <row r="14" spans="1:49" x14ac:dyDescent="0.2">
      <c r="A14" s="2" t="s">
        <v>17</v>
      </c>
      <c r="B14" s="8">
        <f>B4-B9</f>
        <v>30</v>
      </c>
      <c r="C14" s="8">
        <f t="shared" ref="C14:AQ14" si="2">C4-C9</f>
        <v>27.5</v>
      </c>
      <c r="D14" s="8">
        <f t="shared" si="2"/>
        <v>31.174999999999997</v>
      </c>
      <c r="E14" s="8">
        <f t="shared" si="2"/>
        <v>34.828500000000005</v>
      </c>
      <c r="F14" s="8">
        <f t="shared" si="2"/>
        <v>33.736710000000002</v>
      </c>
      <c r="G14" s="8">
        <f t="shared" si="2"/>
        <v>31.552080000000004</v>
      </c>
      <c r="H14" s="8">
        <f t="shared" si="2"/>
        <v>33.253590300000013</v>
      </c>
      <c r="I14" s="8">
        <f t="shared" si="2"/>
        <v>36.666313635000023</v>
      </c>
      <c r="J14" s="8">
        <f t="shared" si="2"/>
        <v>37.793541403170025</v>
      </c>
      <c r="K14" s="8">
        <f t="shared" si="2"/>
        <v>36.691068900446126</v>
      </c>
      <c r="L14" s="8">
        <f t="shared" si="2"/>
        <v>34.508173345052796</v>
      </c>
      <c r="M14" s="8">
        <f t="shared" si="2"/>
        <v>29.850242701240205</v>
      </c>
      <c r="N14" s="8">
        <f t="shared" si="2"/>
        <v>28.954735420202994</v>
      </c>
      <c r="O14" s="8">
        <f t="shared" si="2"/>
        <v>24.364046092688582</v>
      </c>
      <c r="P14" s="8">
        <f t="shared" si="2"/>
        <v>21.64044409739482</v>
      </c>
      <c r="Q14" s="8">
        <f t="shared" si="2"/>
        <v>21.64044409739482</v>
      </c>
      <c r="R14" s="8">
        <f t="shared" si="2"/>
        <v>22.58696738833855</v>
      </c>
      <c r="S14" s="8">
        <f t="shared" si="2"/>
        <v>20.396610838429226</v>
      </c>
      <c r="T14" s="8">
        <f t="shared" si="2"/>
        <v>24.360689024157864</v>
      </c>
      <c r="U14" s="8">
        <f t="shared" si="2"/>
        <v>20.263767649424125</v>
      </c>
      <c r="V14" s="8">
        <f t="shared" si="2"/>
        <v>22.358880207738082</v>
      </c>
      <c r="W14" s="8">
        <f t="shared" si="2"/>
        <v>19.658595317403993</v>
      </c>
      <c r="X14" s="8">
        <f t="shared" si="2"/>
        <v>16.034652979160384</v>
      </c>
      <c r="Y14" s="8">
        <f t="shared" si="2"/>
        <v>10.636130844939316</v>
      </c>
      <c r="Z14" s="8">
        <f t="shared" si="2"/>
        <v>12.715523180558179</v>
      </c>
      <c r="AA14" s="8">
        <f t="shared" si="2"/>
        <v>11.248665045190705</v>
      </c>
      <c r="AB14" s="8">
        <f t="shared" si="2"/>
        <v>13.711415697473072</v>
      </c>
      <c r="AC14" s="8">
        <f t="shared" si="2"/>
        <v>8.7965652750705488</v>
      </c>
      <c r="AD14" s="8">
        <f t="shared" si="2"/>
        <v>9.6326691215204079</v>
      </c>
      <c r="AE14" s="8">
        <f t="shared" si="2"/>
        <v>8.0735101967648859</v>
      </c>
      <c r="AF14" s="8">
        <f t="shared" si="2"/>
        <v>2.186219653158048</v>
      </c>
      <c r="AG14" s="8">
        <f t="shared" si="2"/>
        <v>0.30093306088905081</v>
      </c>
      <c r="AH14" s="8">
        <f t="shared" si="2"/>
        <v>-2.467428899137488</v>
      </c>
      <c r="AI14" s="8">
        <f t="shared" si="2"/>
        <v>-2.467428899137488</v>
      </c>
      <c r="AJ14" s="8">
        <f t="shared" si="2"/>
        <v>-4.3767552983181446</v>
      </c>
      <c r="AK14" s="8">
        <f t="shared" si="2"/>
        <v>-1.6064925561989725</v>
      </c>
      <c r="AL14" s="8">
        <f t="shared" si="2"/>
        <v>-3.5087396391208046</v>
      </c>
      <c r="AM14" s="8">
        <f t="shared" si="2"/>
        <v>-11.140985186130436</v>
      </c>
      <c r="AN14" s="8">
        <f t="shared" si="2"/>
        <v>-12.379352780227094</v>
      </c>
      <c r="AO14" s="8">
        <f t="shared" si="2"/>
        <v>-9.6126903823780907</v>
      </c>
      <c r="AP14" s="8">
        <f t="shared" si="2"/>
        <v>-10.947085420934712</v>
      </c>
      <c r="AQ14" s="8">
        <f t="shared" si="2"/>
        <v>-19.10257035123746</v>
      </c>
    </row>
    <row r="15" spans="1:49" x14ac:dyDescent="0.2">
      <c r="A15" s="2" t="s">
        <v>18</v>
      </c>
      <c r="B15" s="8">
        <f>B5-B10</f>
        <v>65</v>
      </c>
      <c r="C15" s="8">
        <f t="shared" ref="C15:AQ16" si="3">C5-C10</f>
        <v>65.849999999999994</v>
      </c>
      <c r="D15" s="8">
        <f t="shared" si="3"/>
        <v>62.132999999999996</v>
      </c>
      <c r="E15" s="8">
        <f t="shared" si="3"/>
        <v>66.722850000000008</v>
      </c>
      <c r="F15" s="8">
        <f t="shared" si="3"/>
        <v>64.884105000000005</v>
      </c>
      <c r="G15" s="8">
        <f t="shared" si="3"/>
        <v>64.534455809999997</v>
      </c>
      <c r="H15" s="8">
        <f t="shared" si="3"/>
        <v>64.151355420900018</v>
      </c>
      <c r="I15" s="8">
        <f t="shared" si="3"/>
        <v>61.391245275459006</v>
      </c>
      <c r="J15" s="8">
        <f t="shared" si="3"/>
        <v>65.483510953204089</v>
      </c>
      <c r="K15" s="8">
        <f t="shared" si="3"/>
        <v>62.417017607678638</v>
      </c>
      <c r="L15" s="8">
        <f t="shared" si="3"/>
        <v>59.532225050385023</v>
      </c>
      <c r="M15" s="8">
        <f t="shared" si="3"/>
        <v>57.372852755569795</v>
      </c>
      <c r="N15" s="8">
        <f t="shared" si="3"/>
        <v>53.899681442079768</v>
      </c>
      <c r="O15" s="8">
        <f t="shared" si="3"/>
        <v>53.405683056845817</v>
      </c>
      <c r="P15" s="8">
        <f t="shared" si="3"/>
        <v>53.470520168307729</v>
      </c>
      <c r="Q15" s="8">
        <f t="shared" si="3"/>
        <v>55.618452144204412</v>
      </c>
      <c r="R15" s="8">
        <f t="shared" si="3"/>
        <v>51.729635963643076</v>
      </c>
      <c r="S15" s="8">
        <f t="shared" si="3"/>
        <v>53.862520225479429</v>
      </c>
      <c r="T15" s="8">
        <f t="shared" si="3"/>
        <v>54.411665996761172</v>
      </c>
      <c r="U15" s="8">
        <f t="shared" si="3"/>
        <v>52.780240709655708</v>
      </c>
      <c r="V15" s="8">
        <f t="shared" si="3"/>
        <v>54.363647930945376</v>
      </c>
      <c r="W15" s="8">
        <f t="shared" si="3"/>
        <v>56.038411575066341</v>
      </c>
      <c r="X15" s="8">
        <f t="shared" si="3"/>
        <v>54.357259227814346</v>
      </c>
      <c r="Y15" s="8">
        <f t="shared" si="3"/>
        <v>51.640320034611413</v>
      </c>
      <c r="Z15" s="8">
        <f t="shared" si="3"/>
        <v>50.048557632060493</v>
      </c>
      <c r="AA15" s="8">
        <f t="shared" si="3"/>
        <v>52.093070758135731</v>
      </c>
      <c r="AB15" s="8">
        <f t="shared" si="3"/>
        <v>51.018222525498679</v>
      </c>
      <c r="AC15" s="8">
        <f t="shared" si="3"/>
        <v>51.018222525498679</v>
      </c>
      <c r="AD15" s="8">
        <f t="shared" si="3"/>
        <v>52.038586976008652</v>
      </c>
      <c r="AE15" s="8">
        <f t="shared" si="3"/>
        <v>47.652449988944333</v>
      </c>
      <c r="AF15" s="8">
        <f t="shared" si="3"/>
        <v>44.194675230536653</v>
      </c>
      <c r="AG15" s="8">
        <f t="shared" si="3"/>
        <v>41.036214351664476</v>
      </c>
      <c r="AH15" s="8">
        <f t="shared" si="3"/>
        <v>41.856938638697763</v>
      </c>
      <c r="AI15" s="8">
        <f t="shared" si="3"/>
        <v>39.355048456606703</v>
      </c>
      <c r="AJ15" s="8">
        <f t="shared" si="3"/>
        <v>34.420167645803403</v>
      </c>
      <c r="AK15" s="8">
        <f t="shared" si="3"/>
        <v>39.450026131928183</v>
      </c>
      <c r="AL15" s="8">
        <f t="shared" si="3"/>
        <v>35.572690278880032</v>
      </c>
      <c r="AM15" s="8">
        <f t="shared" si="3"/>
        <v>38.694858989361961</v>
      </c>
      <c r="AN15" s="8">
        <f t="shared" si="3"/>
        <v>38.009862988656792</v>
      </c>
      <c r="AO15" s="8">
        <f t="shared" si="3"/>
        <v>35.17412784674697</v>
      </c>
      <c r="AP15" s="8">
        <f t="shared" si="3"/>
        <v>33.771880869492676</v>
      </c>
      <c r="AQ15" s="8">
        <f t="shared" si="3"/>
        <v>32.421005634712969</v>
      </c>
    </row>
    <row r="16" spans="1:49" x14ac:dyDescent="0.2">
      <c r="A16" s="2" t="s">
        <v>19</v>
      </c>
      <c r="B16" s="8">
        <f t="shared" ref="B16:Q16" si="4">B6-B11</f>
        <v>240</v>
      </c>
      <c r="C16" s="8">
        <f t="shared" si="4"/>
        <v>242.2</v>
      </c>
      <c r="D16" s="8">
        <f t="shared" si="4"/>
        <v>234.93399999999997</v>
      </c>
      <c r="E16" s="8">
        <f t="shared" si="4"/>
        <v>237.38324999999998</v>
      </c>
      <c r="F16" s="8">
        <f t="shared" si="4"/>
        <v>242.430645</v>
      </c>
      <c r="G16" s="8">
        <f t="shared" si="4"/>
        <v>245.25059504999999</v>
      </c>
      <c r="H16" s="8">
        <f t="shared" si="4"/>
        <v>237.60524647949998</v>
      </c>
      <c r="I16" s="8">
        <f t="shared" si="4"/>
        <v>237.31741576049998</v>
      </c>
      <c r="J16" s="8">
        <f t="shared" si="4"/>
        <v>237.21859388030998</v>
      </c>
      <c r="K16" s="8">
        <f t="shared" si="4"/>
        <v>232.27460180471996</v>
      </c>
      <c r="L16" s="8">
        <f t="shared" si="4"/>
        <v>239.54227015583726</v>
      </c>
      <c r="M16" s="8">
        <f t="shared" si="4"/>
        <v>239.54227015583726</v>
      </c>
      <c r="N16" s="8">
        <f t="shared" si="4"/>
        <v>239.34264995785347</v>
      </c>
      <c r="O16" s="8">
        <f t="shared" si="4"/>
        <v>239.64806886076869</v>
      </c>
      <c r="P16" s="8">
        <f t="shared" si="4"/>
        <v>229.46963343468241</v>
      </c>
      <c r="Q16" s="8">
        <f t="shared" si="4"/>
        <v>236.55517674608575</v>
      </c>
      <c r="R16" s="8">
        <f t="shared" si="3"/>
        <v>243.65183204846835</v>
      </c>
      <c r="S16" s="8">
        <f t="shared" si="3"/>
        <v>245.87877745196315</v>
      </c>
      <c r="T16" s="8">
        <f t="shared" si="3"/>
        <v>253.57893093227145</v>
      </c>
      <c r="U16" s="8">
        <f t="shared" si="3"/>
        <v>250.71935146619936</v>
      </c>
      <c r="V16" s="8">
        <f t="shared" si="3"/>
        <v>244.93434386381179</v>
      </c>
      <c r="W16" s="8">
        <f t="shared" si="3"/>
        <v>239.80447081461648</v>
      </c>
      <c r="X16" s="8">
        <f t="shared" si="3"/>
        <v>242.78048095256031</v>
      </c>
      <c r="Y16" s="8">
        <f t="shared" si="3"/>
        <v>249.50904856853137</v>
      </c>
      <c r="Z16" s="8">
        <f t="shared" si="3"/>
        <v>246.8941111713232</v>
      </c>
      <c r="AA16" s="8">
        <f t="shared" si="3"/>
        <v>251.71214648322683</v>
      </c>
      <c r="AB16" s="8">
        <f t="shared" si="3"/>
        <v>262.27440161803003</v>
      </c>
      <c r="AC16" s="8">
        <f t="shared" si="3"/>
        <v>264.65026099647326</v>
      </c>
      <c r="AD16" s="8">
        <f t="shared" si="3"/>
        <v>278.89993875377365</v>
      </c>
      <c r="AE16" s="8">
        <f t="shared" si="3"/>
        <v>270.53294059116047</v>
      </c>
      <c r="AF16" s="8">
        <f t="shared" si="3"/>
        <v>267.70797990109077</v>
      </c>
      <c r="AG16" s="8">
        <f t="shared" si="3"/>
        <v>258.6000589466351</v>
      </c>
      <c r="AH16" s="8">
        <f t="shared" si="3"/>
        <v>266.73848819865691</v>
      </c>
      <c r="AI16" s="8">
        <f t="shared" si="3"/>
        <v>257.84866942424412</v>
      </c>
      <c r="AJ16" s="8">
        <f t="shared" si="3"/>
        <v>263.26940586804079</v>
      </c>
      <c r="AK16" s="8">
        <f t="shared" si="3"/>
        <v>260.50483028170447</v>
      </c>
      <c r="AL16" s="8">
        <f t="shared" si="3"/>
        <v>268.84750130077919</v>
      </c>
      <c r="AM16" s="8">
        <f t="shared" si="3"/>
        <v>277.30461447694057</v>
      </c>
      <c r="AN16" s="8">
        <f t="shared" si="3"/>
        <v>274.79269375692979</v>
      </c>
      <c r="AO16" s="8">
        <f t="shared" si="3"/>
        <v>277.41397486349115</v>
      </c>
      <c r="AP16" s="8">
        <f t="shared" si="3"/>
        <v>286.51146659516456</v>
      </c>
      <c r="AQ16" s="8">
        <f t="shared" si="3"/>
        <v>286.26085982476604</v>
      </c>
    </row>
    <row r="17" spans="1:43" x14ac:dyDescent="0.2">
      <c r="C17" s="3"/>
      <c r="D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2" t="s">
        <v>16</v>
      </c>
      <c r="B18" s="5">
        <f t="shared" ref="B18:AQ18" si="5">B13</f>
        <v>44926</v>
      </c>
      <c r="C18" s="5">
        <f t="shared" si="5"/>
        <v>44929</v>
      </c>
      <c r="D18" s="5">
        <f t="shared" si="5"/>
        <v>44930</v>
      </c>
      <c r="E18" s="5">
        <f t="shared" si="5"/>
        <v>44931</v>
      </c>
      <c r="F18" s="5">
        <f t="shared" si="5"/>
        <v>44932</v>
      </c>
      <c r="G18" s="5">
        <f t="shared" si="5"/>
        <v>44935</v>
      </c>
      <c r="H18" s="5">
        <f t="shared" si="5"/>
        <v>44936</v>
      </c>
      <c r="I18" s="5">
        <f t="shared" si="5"/>
        <v>44937</v>
      </c>
      <c r="J18" s="5">
        <f t="shared" si="5"/>
        <v>44938</v>
      </c>
      <c r="K18" s="5">
        <f t="shared" si="5"/>
        <v>44939</v>
      </c>
      <c r="L18" s="5">
        <f t="shared" si="5"/>
        <v>44942</v>
      </c>
      <c r="M18" s="5">
        <f t="shared" si="5"/>
        <v>44943</v>
      </c>
      <c r="N18" s="5">
        <f t="shared" si="5"/>
        <v>44944</v>
      </c>
      <c r="O18" s="5">
        <f t="shared" si="5"/>
        <v>44945</v>
      </c>
      <c r="P18" s="5">
        <f t="shared" si="5"/>
        <v>44946</v>
      </c>
      <c r="Q18" s="5">
        <f t="shared" si="5"/>
        <v>44949</v>
      </c>
      <c r="R18" s="5">
        <f t="shared" si="5"/>
        <v>44950</v>
      </c>
      <c r="S18" s="5">
        <f t="shared" si="5"/>
        <v>44951</v>
      </c>
      <c r="T18" s="5">
        <f t="shared" si="5"/>
        <v>44952</v>
      </c>
      <c r="U18" s="5">
        <f t="shared" si="5"/>
        <v>44953</v>
      </c>
      <c r="V18" s="5">
        <f t="shared" si="5"/>
        <v>44956</v>
      </c>
      <c r="W18" s="5">
        <f t="shared" si="5"/>
        <v>44957</v>
      </c>
      <c r="X18" s="5">
        <f t="shared" si="5"/>
        <v>44958</v>
      </c>
      <c r="Y18" s="5">
        <f t="shared" si="5"/>
        <v>44959</v>
      </c>
      <c r="Z18" s="5">
        <f t="shared" si="5"/>
        <v>44960</v>
      </c>
      <c r="AA18" s="5">
        <f t="shared" si="5"/>
        <v>44963</v>
      </c>
      <c r="AB18" s="5">
        <f t="shared" si="5"/>
        <v>44964</v>
      </c>
      <c r="AC18" s="5">
        <f t="shared" si="5"/>
        <v>44965</v>
      </c>
      <c r="AD18" s="5">
        <f t="shared" si="5"/>
        <v>44966</v>
      </c>
      <c r="AE18" s="5">
        <f t="shared" si="5"/>
        <v>44967</v>
      </c>
      <c r="AF18" s="5">
        <f t="shared" si="5"/>
        <v>44970</v>
      </c>
      <c r="AG18" s="5">
        <f t="shared" si="5"/>
        <v>44971</v>
      </c>
      <c r="AH18" s="5">
        <f t="shared" si="5"/>
        <v>44972</v>
      </c>
      <c r="AI18" s="5">
        <f t="shared" si="5"/>
        <v>44973</v>
      </c>
      <c r="AJ18" s="5">
        <f t="shared" si="5"/>
        <v>44974</v>
      </c>
      <c r="AK18" s="5">
        <f t="shared" si="5"/>
        <v>44977</v>
      </c>
      <c r="AL18" s="5">
        <f t="shared" si="5"/>
        <v>44978</v>
      </c>
      <c r="AM18" s="5">
        <f t="shared" si="5"/>
        <v>44979</v>
      </c>
      <c r="AN18" s="5">
        <f t="shared" si="5"/>
        <v>44980</v>
      </c>
      <c r="AO18" s="5">
        <f t="shared" si="5"/>
        <v>44981</v>
      </c>
      <c r="AP18" s="5">
        <f t="shared" si="5"/>
        <v>44984</v>
      </c>
      <c r="AQ18" s="5">
        <f t="shared" si="5"/>
        <v>44985</v>
      </c>
    </row>
    <row r="19" spans="1:43" x14ac:dyDescent="0.2">
      <c r="A19" s="2" t="s">
        <v>20</v>
      </c>
      <c r="B19" s="6">
        <f>$A$23*B4-$A$24*B9</f>
        <v>6</v>
      </c>
      <c r="C19" s="6">
        <f t="shared" ref="C19:AQ21" si="6">$A$23*C4-$A$24*C9</f>
        <v>2.7000000000000028</v>
      </c>
      <c r="D19" s="6">
        <f t="shared" si="6"/>
        <v>7.1099999999999994</v>
      </c>
      <c r="E19" s="6">
        <f t="shared" si="6"/>
        <v>9.9792000000000058</v>
      </c>
      <c r="F19" s="6">
        <f t="shared" si="6"/>
        <v>7.7146020000000135</v>
      </c>
      <c r="G19" s="6">
        <f t="shared" si="6"/>
        <v>5.7484350000000148</v>
      </c>
      <c r="H19" s="6">
        <f t="shared" si="6"/>
        <v>6.826825530000022</v>
      </c>
      <c r="I19" s="6">
        <f t="shared" si="6"/>
        <v>10.591318703700026</v>
      </c>
      <c r="J19" s="6">
        <f t="shared" si="6"/>
        <v>12.278074602087031</v>
      </c>
      <c r="K19" s="6">
        <f t="shared" si="6"/>
        <v>11.285849349635527</v>
      </c>
      <c r="L19" s="6">
        <f t="shared" si="6"/>
        <v>9.3212433497815255</v>
      </c>
      <c r="M19" s="6">
        <f t="shared" si="6"/>
        <v>4.6943835171348667</v>
      </c>
      <c r="N19" s="6">
        <f t="shared" si="6"/>
        <v>4.5535520116208232</v>
      </c>
      <c r="O19" s="6">
        <f t="shared" si="6"/>
        <v>-0.65335387647024845</v>
      </c>
      <c r="P19" s="6">
        <f t="shared" si="6"/>
        <v>-2.4271658114379306</v>
      </c>
      <c r="Q19" s="6">
        <f t="shared" si="6"/>
        <v>-2.4271658114379306</v>
      </c>
      <c r="R19" s="6">
        <f t="shared" si="6"/>
        <v>-1.5752948495885732</v>
      </c>
      <c r="S19" s="6">
        <f t="shared" si="6"/>
        <v>-4.2037227094797629</v>
      </c>
      <c r="T19" s="6">
        <f t="shared" si="6"/>
        <v>0.26637455623864525</v>
      </c>
      <c r="U19" s="6">
        <f t="shared" si="6"/>
        <v>-4.0706020479868101</v>
      </c>
      <c r="V19" s="6">
        <f t="shared" si="6"/>
        <v>-2.4080806748289376</v>
      </c>
      <c r="W19" s="6">
        <f t="shared" si="6"/>
        <v>-5.0636478047475464</v>
      </c>
      <c r="X19" s="6">
        <f t="shared" si="6"/>
        <v>-8.5527597450709152</v>
      </c>
      <c r="Y19" s="6">
        <f t="shared" si="6"/>
        <v>-13.641269140133033</v>
      </c>
      <c r="Z19" s="6">
        <f t="shared" si="6"/>
        <v>-12.466229645093406</v>
      </c>
      <c r="AA19" s="6">
        <f t="shared" si="6"/>
        <v>-14.503707982151994</v>
      </c>
      <c r="AB19" s="6">
        <f t="shared" si="6"/>
        <v>-11.548407199413163</v>
      </c>
      <c r="AC19" s="6">
        <f t="shared" si="6"/>
        <v>-17.166206645932391</v>
      </c>
      <c r="AD19" s="6">
        <f t="shared" si="6"/>
        <v>-16.162882030192563</v>
      </c>
      <c r="AE19" s="6">
        <f t="shared" si="6"/>
        <v>-18.31109358965935</v>
      </c>
      <c r="AF19" s="6">
        <f t="shared" si="6"/>
        <v>-25.655835300245329</v>
      </c>
      <c r="AG19" s="6">
        <f t="shared" si="6"/>
        <v>-27.352593233287422</v>
      </c>
      <c r="AH19" s="6">
        <f t="shared" si="6"/>
        <v>-30.120353327192177</v>
      </c>
      <c r="AI19" s="6">
        <f t="shared" si="6"/>
        <v>-30.120353327192177</v>
      </c>
      <c r="AJ19" s="6">
        <f t="shared" si="6"/>
        <v>-32.954733779173509</v>
      </c>
      <c r="AK19" s="6">
        <f t="shared" si="6"/>
        <v>-30.461497311266257</v>
      </c>
      <c r="AL19" s="6">
        <f t="shared" si="6"/>
        <v>-32.173519685895911</v>
      </c>
      <c r="AM19" s="6">
        <f t="shared" si="6"/>
        <v>-40.493323378738936</v>
      </c>
      <c r="AN19" s="6">
        <f t="shared" si="6"/>
        <v>-42.521847314762582</v>
      </c>
      <c r="AO19" s="6">
        <f t="shared" si="6"/>
        <v>-40.03185115669848</v>
      </c>
      <c r="AP19" s="6">
        <f t="shared" si="6"/>
        <v>-42.488023883901761</v>
      </c>
      <c r="AQ19" s="6">
        <f t="shared" si="6"/>
        <v>-50.807029731326054</v>
      </c>
    </row>
    <row r="20" spans="1:43" x14ac:dyDescent="0.2">
      <c r="A20" s="2" t="s">
        <v>21</v>
      </c>
      <c r="B20" s="6">
        <f t="shared" ref="B20:Q21" si="7">$A$23*B5-$A$24*B10</f>
        <v>43.5</v>
      </c>
      <c r="C20" s="6">
        <f t="shared" si="7"/>
        <v>44.865000000000009</v>
      </c>
      <c r="D20" s="6">
        <f t="shared" si="7"/>
        <v>41.087700000000005</v>
      </c>
      <c r="E20" s="6">
        <f t="shared" si="7"/>
        <v>44.921925000000016</v>
      </c>
      <c r="F20" s="6">
        <f t="shared" si="7"/>
        <v>43.418340900000018</v>
      </c>
      <c r="G20" s="6">
        <f t="shared" si="7"/>
        <v>42.654336021000006</v>
      </c>
      <c r="H20" s="6">
        <f t="shared" si="7"/>
        <v>41.846745444570018</v>
      </c>
      <c r="I20" s="6">
        <f t="shared" si="7"/>
        <v>38.885962080645911</v>
      </c>
      <c r="J20" s="6">
        <f t="shared" si="7"/>
        <v>42.405339603943816</v>
      </c>
      <c r="K20" s="6">
        <f t="shared" si="7"/>
        <v>39.810793795510307</v>
      </c>
      <c r="L20" s="6">
        <f t="shared" si="7"/>
        <v>37.050835273432043</v>
      </c>
      <c r="M20" s="6">
        <f t="shared" si="7"/>
        <v>34.115710171783476</v>
      </c>
      <c r="N20" s="6">
        <f t="shared" si="7"/>
        <v>30.98985598964245</v>
      </c>
      <c r="O20" s="6">
        <f t="shared" si="7"/>
        <v>31.070853162178778</v>
      </c>
      <c r="P20" s="6">
        <f t="shared" si="7"/>
        <v>31.808977026053796</v>
      </c>
      <c r="Q20" s="6">
        <f t="shared" si="7"/>
        <v>33.41582598185235</v>
      </c>
      <c r="R20" s="6">
        <f t="shared" si="6"/>
        <v>30.082299228826457</v>
      </c>
      <c r="S20" s="6">
        <f t="shared" si="6"/>
        <v>32.001895064479186</v>
      </c>
      <c r="T20" s="6">
        <f t="shared" si="6"/>
        <v>32.660869990017275</v>
      </c>
      <c r="U20" s="6">
        <f t="shared" si="6"/>
        <v>31.029490937551685</v>
      </c>
      <c r="V20" s="6">
        <f t="shared" si="6"/>
        <v>31.960375665678214</v>
      </c>
      <c r="W20" s="6">
        <f t="shared" si="6"/>
        <v>33.637332020108815</v>
      </c>
      <c r="X20" s="6">
        <f t="shared" si="6"/>
        <v>32.628212059505557</v>
      </c>
      <c r="Y20" s="6">
        <f t="shared" si="6"/>
        <v>30.345899998078181</v>
      </c>
      <c r="Z20" s="6">
        <f t="shared" si="6"/>
        <v>28.752009955451641</v>
      </c>
      <c r="AA20" s="6">
        <f t="shared" si="6"/>
        <v>30.266237930651286</v>
      </c>
      <c r="AB20" s="6">
        <f t="shared" si="6"/>
        <v>29.298874521277952</v>
      </c>
      <c r="AC20" s="6">
        <f t="shared" si="6"/>
        <v>29.298874521277952</v>
      </c>
      <c r="AD20" s="6">
        <f t="shared" si="6"/>
        <v>29.884852011703501</v>
      </c>
      <c r="AE20" s="6">
        <f t="shared" si="6"/>
        <v>25.598331198011522</v>
      </c>
      <c r="AF20" s="6">
        <f t="shared" si="6"/>
        <v>21.449001487922303</v>
      </c>
      <c r="AG20" s="6">
        <f t="shared" si="6"/>
        <v>18.606386696937349</v>
      </c>
      <c r="AH20" s="6">
        <f t="shared" si="6"/>
        <v>18.978514430876103</v>
      </c>
      <c r="AI20" s="6">
        <f t="shared" si="6"/>
        <v>16.91374057043366</v>
      </c>
      <c r="AJ20" s="6">
        <f t="shared" si="6"/>
        <v>10.991883597469709</v>
      </c>
      <c r="AK20" s="6">
        <f t="shared" si="6"/>
        <v>16.118344253494612</v>
      </c>
      <c r="AL20" s="6">
        <f t="shared" si="6"/>
        <v>11.46554122983683</v>
      </c>
      <c r="AM20" s="6">
        <f t="shared" si="6"/>
        <v>14.275493069270567</v>
      </c>
      <c r="AN20" s="6">
        <f t="shared" si="6"/>
        <v>13.453497868424364</v>
      </c>
      <c r="AO20" s="6">
        <f t="shared" si="6"/>
        <v>10.693782452491845</v>
      </c>
      <c r="AP20" s="6">
        <f t="shared" si="6"/>
        <v>9.6413894990587892</v>
      </c>
      <c r="AQ20" s="6">
        <f t="shared" si="6"/>
        <v>9.2557339190964427</v>
      </c>
    </row>
    <row r="21" spans="1:43" x14ac:dyDescent="0.2">
      <c r="A21" s="2" t="s">
        <v>22</v>
      </c>
      <c r="B21" s="6">
        <f t="shared" si="7"/>
        <v>213</v>
      </c>
      <c r="C21" s="6">
        <f t="shared" si="6"/>
        <v>214.89</v>
      </c>
      <c r="D21" s="6">
        <f t="shared" si="6"/>
        <v>208.44329999999997</v>
      </c>
      <c r="E21" s="6">
        <f t="shared" si="6"/>
        <v>210.64762499999998</v>
      </c>
      <c r="F21" s="6">
        <f t="shared" si="6"/>
        <v>215.22025350000001</v>
      </c>
      <c r="G21" s="6">
        <f t="shared" si="6"/>
        <v>217.847228355</v>
      </c>
      <c r="H21" s="6">
        <f t="shared" si="6"/>
        <v>210.96641464154999</v>
      </c>
      <c r="I21" s="6">
        <f t="shared" si="6"/>
        <v>210.62101777875</v>
      </c>
      <c r="J21" s="6">
        <f t="shared" si="6"/>
        <v>210.50243152252199</v>
      </c>
      <c r="K21" s="6">
        <f t="shared" si="6"/>
        <v>206.05283865449098</v>
      </c>
      <c r="L21" s="6">
        <f t="shared" si="6"/>
        <v>212.59374017049655</v>
      </c>
      <c r="M21" s="6">
        <f t="shared" si="6"/>
        <v>212.59374017049655</v>
      </c>
      <c r="N21" s="6">
        <f t="shared" si="6"/>
        <v>212.35419593291599</v>
      </c>
      <c r="O21" s="6">
        <f t="shared" si="6"/>
        <v>212.72069861641424</v>
      </c>
      <c r="P21" s="6">
        <f t="shared" si="6"/>
        <v>203.50085546577105</v>
      </c>
      <c r="Q21" s="6">
        <f t="shared" si="6"/>
        <v>209.84762629977962</v>
      </c>
      <c r="R21" s="6">
        <f t="shared" si="6"/>
        <v>216.143055088773</v>
      </c>
      <c r="S21" s="6">
        <f t="shared" si="6"/>
        <v>218.05299813927289</v>
      </c>
      <c r="T21" s="6">
        <f t="shared" si="6"/>
        <v>224.98313627155036</v>
      </c>
      <c r="U21" s="6">
        <f t="shared" si="6"/>
        <v>222.3447567207356</v>
      </c>
      <c r="V21" s="6">
        <f t="shared" si="6"/>
        <v>216.97311689864461</v>
      </c>
      <c r="W21" s="6">
        <f t="shared" si="6"/>
        <v>212.3562311543688</v>
      </c>
      <c r="X21" s="6">
        <f t="shared" si="6"/>
        <v>215.17335198166973</v>
      </c>
      <c r="Y21" s="6">
        <f t="shared" si="6"/>
        <v>220.9627363659929</v>
      </c>
      <c r="Z21" s="6">
        <f t="shared" si="6"/>
        <v>218.60929270850554</v>
      </c>
      <c r="AA21" s="6">
        <f t="shared" si="6"/>
        <v>222.83766226884825</v>
      </c>
      <c r="AB21" s="6">
        <f t="shared" si="6"/>
        <v>232.34369189017113</v>
      </c>
      <c r="AC21" s="6">
        <f t="shared" si="6"/>
        <v>234.37086724378838</v>
      </c>
      <c r="AD21" s="6">
        <f t="shared" si="6"/>
        <v>247.31000825494982</v>
      </c>
      <c r="AE21" s="6">
        <f t="shared" si="6"/>
        <v>239.89070800730138</v>
      </c>
      <c r="AF21" s="6">
        <f t="shared" si="6"/>
        <v>237.34824338623864</v>
      </c>
      <c r="AG21" s="6">
        <f t="shared" si="6"/>
        <v>228.93577821574399</v>
      </c>
      <c r="AH21" s="6">
        <f t="shared" si="6"/>
        <v>236.26036454256362</v>
      </c>
      <c r="AI21" s="6">
        <f t="shared" si="6"/>
        <v>228.10735665214295</v>
      </c>
      <c r="AJ21" s="6">
        <f t="shared" si="6"/>
        <v>232.98601945155997</v>
      </c>
      <c r="AK21" s="6">
        <f t="shared" si="6"/>
        <v>230.49790142385729</v>
      </c>
      <c r="AL21" s="6">
        <f t="shared" si="6"/>
        <v>238.04586979932128</v>
      </c>
      <c r="AM21" s="6">
        <f t="shared" si="6"/>
        <v>245.65727165786654</v>
      </c>
      <c r="AN21" s="6">
        <f t="shared" si="6"/>
        <v>243.51404945099824</v>
      </c>
      <c r="AO21" s="6">
        <f t="shared" si="6"/>
        <v>245.79721494829869</v>
      </c>
      <c r="AP21" s="6">
        <f t="shared" si="6"/>
        <v>254.10121837967009</v>
      </c>
      <c r="AQ21" s="6">
        <f t="shared" si="6"/>
        <v>253.80049025519185</v>
      </c>
    </row>
    <row r="22" spans="1:43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7">
        <v>0.9</v>
      </c>
    </row>
    <row r="24" spans="1:43" x14ac:dyDescent="0.2">
      <c r="A24" s="7">
        <v>1.2</v>
      </c>
    </row>
    <row r="25" spans="1:43" x14ac:dyDescent="0.2">
      <c r="A25" s="3"/>
      <c r="B25" s="3"/>
    </row>
    <row r="26" spans="1:43" x14ac:dyDescent="0.2">
      <c r="A26" s="2"/>
    </row>
    <row r="38" spans="1:2" x14ac:dyDescent="0.2">
      <c r="A38" s="2" t="s">
        <v>0</v>
      </c>
      <c r="B38" s="3"/>
    </row>
    <row r="39" spans="1:2" x14ac:dyDescent="0.2">
      <c r="A39" t="s">
        <v>3</v>
      </c>
      <c r="B39" s="4">
        <v>-0.03</v>
      </c>
    </row>
    <row r="40" spans="1:2" x14ac:dyDescent="0.2">
      <c r="A40" t="s">
        <v>4</v>
      </c>
      <c r="B40" s="4">
        <v>0.05</v>
      </c>
    </row>
    <row r="41" spans="1:2" x14ac:dyDescent="0.2">
      <c r="A41" t="s">
        <v>12</v>
      </c>
      <c r="B41" s="4">
        <v>0.5</v>
      </c>
    </row>
    <row r="42" spans="1:2" x14ac:dyDescent="0.2">
      <c r="A42" t="s">
        <v>2</v>
      </c>
      <c r="B42" s="4">
        <v>-0.5</v>
      </c>
    </row>
    <row r="43" spans="1:2" x14ac:dyDescent="0.2">
      <c r="B43" s="3"/>
    </row>
    <row r="44" spans="1:2" x14ac:dyDescent="0.2">
      <c r="B44" s="3"/>
    </row>
    <row r="45" spans="1:2" x14ac:dyDescent="0.2">
      <c r="A45" s="2" t="s">
        <v>1</v>
      </c>
      <c r="B45" s="3"/>
    </row>
    <row r="46" spans="1:2" x14ac:dyDescent="0.2">
      <c r="A46" t="s">
        <v>5</v>
      </c>
      <c r="B46" s="3">
        <v>0</v>
      </c>
    </row>
  </sheetData>
  <sortState xmlns:xlrd2="http://schemas.microsoft.com/office/spreadsheetml/2017/richdata2" ref="E34:E73">
    <sortCondition ref="E34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Shravani Goud Dindu</cp:lastModifiedBy>
  <dcterms:created xsi:type="dcterms:W3CDTF">2023-04-08T19:27:42Z</dcterms:created>
  <dcterms:modified xsi:type="dcterms:W3CDTF">2026-02-17T07:12:08Z</dcterms:modified>
</cp:coreProperties>
</file>